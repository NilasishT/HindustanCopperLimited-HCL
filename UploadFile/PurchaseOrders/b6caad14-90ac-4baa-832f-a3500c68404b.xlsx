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Sheet1!$A$1:$AA$594</definedName>
  </definedNames>
  <calcPr calcId="124519"/>
</workbook>
</file>

<file path=xl/calcChain.xml><?xml version="1.0" encoding="utf-8"?>
<calcChain xmlns="http://schemas.openxmlformats.org/spreadsheetml/2006/main">
  <c r="M594" i="1"/>
  <c r="M593"/>
  <c r="M592"/>
  <c r="M591"/>
  <c r="M590"/>
  <c r="M589"/>
  <c r="M588"/>
  <c r="M587"/>
  <c r="M586"/>
  <c r="M585"/>
  <c r="M584"/>
  <c r="M583"/>
  <c r="M582"/>
  <c r="M581"/>
  <c r="M580"/>
  <c r="M579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</calcChain>
</file>

<file path=xl/sharedStrings.xml><?xml version="1.0" encoding="utf-8"?>
<sst xmlns="http://schemas.openxmlformats.org/spreadsheetml/2006/main" count="4762" uniqueCount="1468">
  <si>
    <t>UNIT</t>
  </si>
  <si>
    <t>Vendor Code</t>
  </si>
  <si>
    <t>Vendor GST No</t>
  </si>
  <si>
    <t>Contract No</t>
  </si>
  <si>
    <t>Contract Description</t>
  </si>
  <si>
    <t>Contract Start Date</t>
  </si>
  <si>
    <t>Contract End Date</t>
  </si>
  <si>
    <t>Engineer In Charge</t>
  </si>
  <si>
    <t>Department</t>
  </si>
  <si>
    <t>Section</t>
  </si>
  <si>
    <t>Basic Amount</t>
  </si>
  <si>
    <t>Tax Amount</t>
  </si>
  <si>
    <t>Total Value</t>
  </si>
  <si>
    <t>Payment Terms</t>
  </si>
  <si>
    <t>ExtendDate-1</t>
  </si>
  <si>
    <t>ExtendDate-2</t>
  </si>
  <si>
    <t>ExtendDate-3</t>
  </si>
  <si>
    <t>ExtendDate-4</t>
  </si>
  <si>
    <t>ExtendDate-5</t>
  </si>
  <si>
    <t>BG Amount</t>
  </si>
  <si>
    <t>BG Start Date</t>
  </si>
  <si>
    <t>BG End date</t>
  </si>
  <si>
    <t>BG extension Date-1</t>
  </si>
  <si>
    <t>BG extension Date-2</t>
  </si>
  <si>
    <t>BG extension Date-3</t>
  </si>
  <si>
    <t>BG extension Date-4</t>
  </si>
  <si>
    <t>BG extension Date-5</t>
  </si>
  <si>
    <t>Indian Copper Complex</t>
  </si>
  <si>
    <t>20AFPPK6018Q1Z3</t>
  </si>
  <si>
    <t>10326</t>
  </si>
  <si>
    <t>MAINTENANCE OF 33 KV OVERHEAD TRANSMISSION LINE, 11 KV, LT SIDE WITH OPERATION &amp; MONITORING OF BANALOPA - 33 KV SUBSTATION, 33KV SS of MBR Works &amp; P.House for the year of 2016-17</t>
  </si>
  <si>
    <t>Mr. Mulukutla Sivaramaprasad</t>
  </si>
  <si>
    <t>HCL ICC Central Stores</t>
  </si>
  <si>
    <t>ICC Org-Maintenance</t>
  </si>
  <si>
    <t>CREDIT PAYMENT_30 DAYS</t>
  </si>
  <si>
    <t>10375</t>
  </si>
  <si>
    <t>Annual Maintainence of Lead Lined Cells , tanks etc in CPM for the year 2017</t>
  </si>
  <si>
    <t>Monthly RA Bill (within 30 days after submission)</t>
  </si>
  <si>
    <t>20AAAAI0686D1ZA</t>
  </si>
  <si>
    <t>10515</t>
  </si>
  <si>
    <t>DGPS Survey of Surda Mining Lease &amp; Forest area</t>
  </si>
  <si>
    <t>19AAACI1681G1ZM</t>
  </si>
  <si>
    <t>108</t>
  </si>
  <si>
    <t>Planned Purchase Order for Servo Prime-57  and S.Super MG 20W40 for ICC</t>
  </si>
  <si>
    <t>Mr. P K S Reddy</t>
  </si>
  <si>
    <t>HCL ICC</t>
  </si>
  <si>
    <t>ICC Org-Process</t>
  </si>
  <si>
    <t>CREDIT PAYM_30 DAYS_RCPT_ACP</t>
  </si>
  <si>
    <t>20AACCM2119B1ZG</t>
  </si>
  <si>
    <t>11168</t>
  </si>
  <si>
    <t>Vetting of drawing related to Kendadih mine project</t>
  </si>
  <si>
    <t>Mr. Deepak Srivastava</t>
  </si>
  <si>
    <t>HCL ICC Surda</t>
  </si>
  <si>
    <t>Immediate</t>
  </si>
  <si>
    <t>20AAFCS1410C1ZD</t>
  </si>
  <si>
    <t>11186</t>
  </si>
  <si>
    <t>Surda Expansion Project</t>
  </si>
  <si>
    <t>CREDIT PAYMENT_15 DAYS</t>
  </si>
  <si>
    <t>20AFIPK6936L1Z9</t>
  </si>
  <si>
    <t>11261</t>
  </si>
  <si>
    <t>SUPPLY OF SKILLED MANPOWER</t>
  </si>
  <si>
    <t>20AJOPR5912M1ZV</t>
  </si>
  <si>
    <t>11262</t>
  </si>
  <si>
    <t>SUPPLY OF UN-SKILLED MANPOWER</t>
  </si>
  <si>
    <t>11278</t>
  </si>
  <si>
    <t>OPERATION &amp; MAINTENANCE OF COMPRESSORS PER MONTH BASIS</t>
  </si>
  <si>
    <t>11279</t>
  </si>
  <si>
    <t>AMC for Operation and Maintenance of Compressor</t>
  </si>
  <si>
    <t>20AABCO3273F1ZY</t>
  </si>
  <si>
    <t>11309</t>
  </si>
  <si>
    <t>Deployment of Security Personnel on contract basis for rendering   Security   Services at ICC</t>
  </si>
  <si>
    <t>20AAATC2716R1ZT</t>
  </si>
  <si>
    <t>11339</t>
  </si>
  <si>
    <t>Testing of Recapping rope of Surda Mine of M/s Hindustan Copper Limited</t>
  </si>
  <si>
    <t>20AADCM5557A1Z1</t>
  </si>
  <si>
    <t>11375</t>
  </si>
  <si>
    <t>Reopening, Operation and Expansion of Kendadih Copper Mine</t>
  </si>
  <si>
    <t>11391</t>
  </si>
  <si>
    <t>Mrs. Charusheela Bhonsle</t>
  </si>
  <si>
    <t>MONTHLY R.A BILL  IMMEDIATE AFTER RECEIPT</t>
  </si>
  <si>
    <t>11400</t>
  </si>
  <si>
    <t>ESCALATION ORDER</t>
  </si>
  <si>
    <t>11416</t>
  </si>
  <si>
    <t>REGULAR MAINTENANCE OF ELECTRICAL INSTALLATIONS UNDER E.R PLANT AND OTHER</t>
  </si>
  <si>
    <t>11485</t>
  </si>
  <si>
    <t>Cleaning of River side Pump House well, connecting tunnel and O/H of Jewel Filter</t>
  </si>
  <si>
    <t>11490</t>
  </si>
  <si>
    <t>11524</t>
  </si>
  <si>
    <t>LT TRACK LINE REPAIR/REPLACEMENT OF FLASH SMELTER, SGP &amp; REFINERY CRANES</t>
  </si>
  <si>
    <t>11569</t>
  </si>
  <si>
    <t>OVERHAULING OF35/35T JESSOP &amp; WMI CRANES</t>
  </si>
  <si>
    <t>11589</t>
  </si>
  <si>
    <t>COPPER BUS BAR &amp; CELL BUS BAR RELATED JOBS DURING FSO:2017 FOR E.R PLANT</t>
  </si>
  <si>
    <t>11707</t>
  </si>
  <si>
    <t>Repair / Maint.of equipments for Inside / outside works during 2017-18</t>
  </si>
  <si>
    <t>11755</t>
  </si>
  <si>
    <t>REPAIRING OF HUMIDIFIER DUCT DURING FSO-17</t>
  </si>
  <si>
    <t>20GBVPS9934R1ZA</t>
  </si>
  <si>
    <t>11783</t>
  </si>
  <si>
    <t>Inspection. Testing and Certifications of Lifting Tools, Tackles and EOT Cranes as per Section 29 of Factory Act 1948 read with rules 56-A of Jharkhand Factories Rules, 1950</t>
  </si>
  <si>
    <t>11784</t>
  </si>
  <si>
    <t>Thickness Measurement of Un-Fired Pressure Vessels and Air Receivers as per Section 31 of the Factories Act 1948 read with Rules 57 of Jharkhand Factories Rules, 1950 for the year 2017.</t>
  </si>
  <si>
    <t>11803</t>
  </si>
  <si>
    <t>Dismantling,Erection &amp; Commissioning of Oxygen supply line of Smelter</t>
  </si>
  <si>
    <t>20ACWPA8371N1Z1</t>
  </si>
  <si>
    <t>11823</t>
  </si>
  <si>
    <t>Providing &amp; Fixing aluminum glazed window, doors grills at old age home Ranchi under CSR &amp; S by HCL</t>
  </si>
  <si>
    <t>20AAFCA7720D1ZC</t>
  </si>
  <si>
    <t>11829</t>
  </si>
  <si>
    <t>CONSTRUCTION OF 33 KV ,3 PHASE,OVERHEAD DOUBLE FEEDERS TRANSMISSION LINES IN TWIN RAIL POLE OF 13 METERS HEIGHT , AS PER JSEB STANDARDS FROM JADUGODA TO KENDADIH &amp; SIDHESWAR CHAPRI VIA RAKHA FOR FEEDING 16 MVA POWER AT ICC GHATSHILA</t>
  </si>
  <si>
    <t>Mr. Vimal Kumar</t>
  </si>
  <si>
    <t>HCL MCP Electrical Maintenance</t>
  </si>
  <si>
    <t>20AAACB8433D1ZC</t>
  </si>
  <si>
    <t>11852</t>
  </si>
  <si>
    <t>DEPUTATION OF SERVICE ENGINEER FOR FAULT FINDING AND RECTIFICATION OF HEAVY EARTH MOVING EQUIPMENTS</t>
  </si>
  <si>
    <t>20BBIPP4525R1ZA</t>
  </si>
  <si>
    <t>11866</t>
  </si>
  <si>
    <t>Digging of two (02) borewells for installation of Piezometer in Surda Mining Lease to comply condition no.5 of NOC issued by CGWA , New Delhi on LTE Basis</t>
  </si>
  <si>
    <t>20AAZFA2882R1ZO</t>
  </si>
  <si>
    <t>11867</t>
  </si>
  <si>
    <t>AMC OF ONLINE EFFLUENT MONITORING STATION</t>
  </si>
  <si>
    <t>11869</t>
  </si>
  <si>
    <t>Preparation and Submission of Modofied Mining Plan along with PMCP in respect of Kendadih Mining Lease to Indian Bureau of Mines for approval under Rule 11(3) &amp; 23 of Mineral Conservation and Developmentt Rule 2017</t>
  </si>
  <si>
    <t>11887</t>
  </si>
  <si>
    <t>AMC of EOT Cranes and Equipments under Machine Shop</t>
  </si>
  <si>
    <t>09AAACR6491D2Z9</t>
  </si>
  <si>
    <t>11913</t>
  </si>
  <si>
    <t>Deputation of Service Engineer</t>
  </si>
  <si>
    <t>06AABCB2076M1ZN</t>
  </si>
  <si>
    <t>11914</t>
  </si>
  <si>
    <t>AMC for BCH Make DC Electromagnatic Breakers</t>
  </si>
  <si>
    <t>11997</t>
  </si>
  <si>
    <t>Lead Repair Jobs of Cells &amp; Tanks in CPM</t>
  </si>
  <si>
    <t>20ALKPJ1813H1ZM</t>
  </si>
  <si>
    <t>12003</t>
  </si>
  <si>
    <t>PROVIDING &amp; FIXING C.G.I. SHEET ROOFING ON REFRACTORY GODOWN AND DESPATCH SECTION AT ICC</t>
  </si>
  <si>
    <t>29AGZPV4083D1ZK</t>
  </si>
  <si>
    <t>12007</t>
  </si>
  <si>
    <t>Structural Audit of Head Gear at Kendadih Mine</t>
  </si>
  <si>
    <t>12025</t>
  </si>
  <si>
    <t>Operation &amp; maintenance of central effluent treatment plant on per month basis</t>
  </si>
  <si>
    <t>20ABBFA1652Q1ZM</t>
  </si>
  <si>
    <t>12053</t>
  </si>
  <si>
    <t>Bi annual contract for analysis and Monitoring of pollution related samples at ICC works</t>
  </si>
  <si>
    <t>12115</t>
  </si>
  <si>
    <t>STRUCTURAL AUDIT OF HEADGEAR STRUCTURE AT ICC MINES</t>
  </si>
  <si>
    <t>21ACBPB6043R1ZR</t>
  </si>
  <si>
    <t>12130</t>
  </si>
  <si>
    <t>Procurement of display system for Display of Environmental parameters on display board near main gate of Kendadih Mine including annual maintenance contract (AMC)</t>
  </si>
  <si>
    <t>20AAATC5200E1ZR</t>
  </si>
  <si>
    <t>12152</t>
  </si>
  <si>
    <t>Construction of Household Toilets in Villages under CSR HCL Plan for Yr.-2017-18 for open defection free villages under SBM (200 nos)</t>
  </si>
  <si>
    <t>19AEOPM1931J1Z5</t>
  </si>
  <si>
    <t>12165</t>
  </si>
  <si>
    <t>Repairing of Godrej Shearing Machine , Model GS-40-1616-1161  of CD Section</t>
  </si>
  <si>
    <t>07AACCN4897M1ZR</t>
  </si>
  <si>
    <t>12177</t>
  </si>
  <si>
    <t>RLA STUDY OF WASTE HEAT RECOVERY BOILER DRUM</t>
  </si>
  <si>
    <t>20BQCPM5219E1ZE</t>
  </si>
  <si>
    <t>12203</t>
  </si>
  <si>
    <t>Catalyst Screening, saddles removal, Sludge &amp; dust cleaning at SAP</t>
  </si>
  <si>
    <t>32AAACT6204C1Z2</t>
  </si>
  <si>
    <t>12245</t>
  </si>
  <si>
    <t>Prepaeration of Techno Economic Feasibilty Report and PMC services for retrofitting of Amine based SO2 Absorption route</t>
  </si>
  <si>
    <t>Mr. Abhishek Pareek</t>
  </si>
  <si>
    <t>HCL KCC Materials</t>
  </si>
  <si>
    <t>19AUNPM6978Q1Z6</t>
  </si>
  <si>
    <t>12281</t>
  </si>
  <si>
    <t>Topography Survey of land for setting-up a Rakha Concentrator Plant by engaging agency</t>
  </si>
  <si>
    <t>19AABCM9831F1ZB</t>
  </si>
  <si>
    <t>12307</t>
  </si>
  <si>
    <t>Overhauling of CD Section Compressors including supply of spares.</t>
  </si>
  <si>
    <t>12350</t>
  </si>
  <si>
    <t>Job contract for various activities in different departments for assistance in operation, maintenance and other related  jobs of Moubhandar Works for a period of one year 2018-19</t>
  </si>
  <si>
    <t>12354</t>
  </si>
  <si>
    <t>Engagement of Security agency for the period 2018-20 at ICC Ghatsila.</t>
  </si>
  <si>
    <t>Mr. Baban Tiwary</t>
  </si>
  <si>
    <t>HCL ICC Materials</t>
  </si>
  <si>
    <t>20AADFR2334K1ZK</t>
  </si>
  <si>
    <t>12412</t>
  </si>
  <si>
    <t>BREEZE COKE.</t>
  </si>
  <si>
    <t>20AAACO3021G2ZA</t>
  </si>
  <si>
    <t>12413</t>
  </si>
  <si>
    <t>12430</t>
  </si>
  <si>
    <t>Digging of three (03) nos. bore wells for installation of Piezometer at Kendadih (01) no. &amp; Rakha (02) nos. Mining Leases to comply condition no.4 of NOC issued by CGWA , New Delhi.</t>
  </si>
  <si>
    <t>12441</t>
  </si>
  <si>
    <t>JOB CONTRACT FOR VARIOUS ACTIVITIES OF ICC SURDA MINE &amp; MOSABONI CONCENTRATOR PLANT</t>
  </si>
  <si>
    <t>12463</t>
  </si>
  <si>
    <t>Out Sourcing of Office management , House keeping services &amp; Draughting work at Surda Admn.Building and at Surda Mines Managers Office</t>
  </si>
  <si>
    <t>12478</t>
  </si>
  <si>
    <t>Inspection Testing &amp; Certification of Passenger Lift at Smelter under provision of Sec-28 of Factories Act 1948 read with Rule 56-A of Jharkhand Factories Rules 1950.</t>
  </si>
  <si>
    <t>20BUWPK2950A2ZV</t>
  </si>
  <si>
    <t>12481</t>
  </si>
  <si>
    <t>CATALYST SCREENING &amp; SADDLES REMOVAL CONTRACT 2014-15</t>
  </si>
  <si>
    <t>12482</t>
  </si>
  <si>
    <t>Sludge removal from pits,dust removal from SO2 main duct,Catalyst Screening &amp; Saddles removal from Converter &amp; Absorbing &amp; Drying tower.</t>
  </si>
  <si>
    <t>06AAKFV2798N1Z9</t>
  </si>
  <si>
    <t>12502</t>
  </si>
  <si>
    <t>Monitoring of environmental parameters of Surda Mine and Mosaboni concentrator Plant by NABL accredited agency for next three (3) years ( up to 2020)</t>
  </si>
  <si>
    <t>22AAFFE4576J2ZC</t>
  </si>
  <si>
    <t>12518</t>
  </si>
  <si>
    <t>Hiring LHD for operation at Surda Mine</t>
  </si>
  <si>
    <t>19AABCT3207A1ZW</t>
  </si>
  <si>
    <t>12588</t>
  </si>
  <si>
    <t>ARC of Direct reader OES 4460 (NEW)</t>
  </si>
  <si>
    <t>07AKEPT1602P1ZW</t>
  </si>
  <si>
    <t>12614</t>
  </si>
  <si>
    <t>AMC of AA -240 AAS  ( Atomic Absorption Spectrometer )</t>
  </si>
  <si>
    <t>20AABCM9165C1ZV</t>
  </si>
  <si>
    <t>12631</t>
  </si>
  <si>
    <t>Depth Exploration Work at Kendadih Mine, Ghatsila, Jharkhand</t>
  </si>
  <si>
    <t>12638</t>
  </si>
  <si>
    <t>Identification &amp; demarcation of area under Rakha mining lease area (Total 785.091 Hectares ) by cadastral survey and preparation of digital Geo-referenced map &amp; generation of Geo-referenced shape files by DGPS Survey of that area.</t>
  </si>
  <si>
    <t>12640</t>
  </si>
  <si>
    <t>Identification &amp; demarcation of area under Kendadih mining lease area (Total 1139.6 Hectares ) by cadastral survey and preparation of digital Geo-referenced map &amp; generation of Geo-referenced shape files by DGPS Survey of that area.</t>
  </si>
  <si>
    <t>20AAACB2528H1ZC</t>
  </si>
  <si>
    <t>12652</t>
  </si>
  <si>
    <t>IOLAR</t>
  </si>
  <si>
    <t>Mr. Sunil Kumar</t>
  </si>
  <si>
    <t>HCL ICC Mosaboni</t>
  </si>
  <si>
    <t>Payment against delivery</t>
  </si>
  <si>
    <t>20AAACO3758L1ZG</t>
  </si>
  <si>
    <t>12673</t>
  </si>
  <si>
    <t>COURIER SERVICES FROM ICC TO EASTERN REGION</t>
  </si>
  <si>
    <t>20ARCPS9475J3ZC</t>
  </si>
  <si>
    <t>12686</t>
  </si>
  <si>
    <t>Repair of roofs for arresting leakages from office and substation building at surda mines</t>
  </si>
  <si>
    <t>20BYHPS8099H1ZX</t>
  </si>
  <si>
    <t>12770</t>
  </si>
  <si>
    <t>Stability Tests of Building, Sheds &amp; Structures of all plants inside ICC Works except Flash Smelter Plant and Acid Plant.</t>
  </si>
  <si>
    <t>12782</t>
  </si>
  <si>
    <t>Civil repair and facelifting work for shaft no 03 at surda</t>
  </si>
  <si>
    <t>19AMJPK0143P1ZP</t>
  </si>
  <si>
    <t>12789</t>
  </si>
  <si>
    <t>ANNUAL OPERATION &amp; MAINTENANCE CONTRACT OF OTIS PASSENGER-CUM-GOODS LIFT AT FLASH SMELTER FOR 2018-19</t>
  </si>
  <si>
    <t>20AANFN9992P2Z9</t>
  </si>
  <si>
    <t>12792</t>
  </si>
  <si>
    <t>Inspection, Testing and Certification of Lift, Lifting Tools &amp;Tackles and EOT Cranes as well as Thickness Measurement of Un-Fired Pressure Vessels &amp; Air Receivers as per Factories Act read withJharkhand Factories Rules for 2018.</t>
  </si>
  <si>
    <t>24AAACF0677K1ZN</t>
  </si>
  <si>
    <t>12809</t>
  </si>
  <si>
    <t>TRANSPORTATION ARRANGMENT OF EMEW SPARES FROM USA TO KOLKATA</t>
  </si>
  <si>
    <t>27AAECT1094J1Z4</t>
  </si>
  <si>
    <t>12826</t>
  </si>
  <si>
    <t>Testing,Overhauling/Repairs of 5MVA,11KV/50-150V Slag Cleaning Furnace Transformer.</t>
  </si>
  <si>
    <t>08ADNPR4334E1ZE</t>
  </si>
  <si>
    <t>12847</t>
  </si>
  <si>
    <t>ANHYDROUS POWDERED LIME.</t>
  </si>
  <si>
    <t>Mr. Kaushlendra Kumar</t>
  </si>
  <si>
    <t>20AAAAV4747J1ZI</t>
  </si>
  <si>
    <t>12888</t>
  </si>
  <si>
    <t>Plantation of 30 nos Saplings along with bamboo tree guards.</t>
  </si>
  <si>
    <t>23AATPU0659G1ZB</t>
  </si>
  <si>
    <t>12911</t>
  </si>
  <si>
    <t>TRANSPORTATION CONTRACT</t>
  </si>
  <si>
    <t>12987</t>
  </si>
  <si>
    <t>21AANFG5836B1ZP</t>
  </si>
  <si>
    <t>13016</t>
  </si>
  <si>
    <t>AMC of Water Treatment Plant, Operation and Maintenance of Revert Grinding Plant.</t>
  </si>
  <si>
    <t>13086</t>
  </si>
  <si>
    <t>Miscellaneous Civil Works at Shaft No-4 of Surda mines</t>
  </si>
  <si>
    <t>13098</t>
  </si>
  <si>
    <t>Engagement of NGO for CSR &amp; S Activities of ICC 2018-19</t>
  </si>
  <si>
    <t>20AAECS4319P1Z9</t>
  </si>
  <si>
    <t>13099</t>
  </si>
  <si>
    <t>COAL MIDDLING (60% QUANTITY)</t>
  </si>
  <si>
    <t>20AABCV9850D1ZK</t>
  </si>
  <si>
    <t>13100</t>
  </si>
  <si>
    <t>COAL MIDDLING (40% QUANTITY)</t>
  </si>
  <si>
    <t>13133</t>
  </si>
  <si>
    <t>Cleaning of River Side Pump House well, connecting tunnel and O/H of Jewel Filter at WTP (Inside)</t>
  </si>
  <si>
    <t>27AAACA4074D1Z2</t>
  </si>
  <si>
    <t>13165</t>
  </si>
  <si>
    <t>Installation and Programming of Electronic-Cum-Display Regulator for Atlas Copco Air Compressor at NS-Type for 4-Shaft-Surda Mine</t>
  </si>
  <si>
    <t>20ABQPD1118F1ZD</t>
  </si>
  <si>
    <t>13200</t>
  </si>
  <si>
    <t>ELGI Compressor for rectification break down Screw Compressor,Model:E-18-7.5</t>
  </si>
  <si>
    <t>Mr. Tamal Sarkar</t>
  </si>
  <si>
    <t>20AABCM1727G1Z3</t>
  </si>
  <si>
    <t>13276</t>
  </si>
  <si>
    <t>Annual Contract for Maintenance of PCs, Printers and UPS</t>
  </si>
  <si>
    <t>13282</t>
  </si>
  <si>
    <t>Safety Audit for ICC Works</t>
  </si>
  <si>
    <t>13293</t>
  </si>
  <si>
    <t>Testing of Winder ropes of 22mm &amp; 26mm RHL (for 3 shaft)</t>
  </si>
  <si>
    <t>20AADCG4591N1ZG</t>
  </si>
  <si>
    <t>13320</t>
  </si>
  <si>
    <t>Tarfelting job at Electrical Instalation/Control Rooms inside works area.</t>
  </si>
  <si>
    <t>22ACQFS6104F1Z9</t>
  </si>
  <si>
    <t>13332</t>
  </si>
  <si>
    <t>BREEZE COKE</t>
  </si>
  <si>
    <t>13346</t>
  </si>
  <si>
    <t>Repair of floor and face lifting of buildings of Mosabani Concentrator Plant</t>
  </si>
  <si>
    <t>13364</t>
  </si>
  <si>
    <t>Hydraulic testing of Air Receivers of Surda Mines</t>
  </si>
  <si>
    <t>13372</t>
  </si>
  <si>
    <t>20CASPB3376A1Z7</t>
  </si>
  <si>
    <t>13390</t>
  </si>
  <si>
    <t>Job Contract for bush cutting, Cleaning &amp; Removal of Debaris at Chapri and Rakha Mine</t>
  </si>
  <si>
    <t>13391</t>
  </si>
  <si>
    <t>Annual Maintainence of Lead Lined Cells , tanks etc in CPM for the year-2019</t>
  </si>
  <si>
    <t>20AMEPG0878Q1ZV</t>
  </si>
  <si>
    <t>13392</t>
  </si>
  <si>
    <t>Providing and fixing demarcation stones along the periphery of the proposed concentrator plant site at Rakha.</t>
  </si>
  <si>
    <t>20AALPW1688B1ZQ</t>
  </si>
  <si>
    <t>13404</t>
  </si>
  <si>
    <t>RE-BUILDING OF JEEP , NO.BR 16H 1359</t>
  </si>
  <si>
    <t>13406</t>
  </si>
  <si>
    <t>MONITORING OF ENVIRONMENTAL PARAMETERS AT KENDADIH MINES</t>
  </si>
  <si>
    <t>20AAQFR3282F1Z9</t>
  </si>
  <si>
    <t>13407</t>
  </si>
  <si>
    <t>Roof Repair/Tarfelting of Moubhandar Township Quarters.</t>
  </si>
  <si>
    <t>13410</t>
  </si>
  <si>
    <t>Repair of Quarters (Carpentry) at Moubhandar Township</t>
  </si>
  <si>
    <t>20AADAM1650J120</t>
  </si>
  <si>
    <t>13421</t>
  </si>
  <si>
    <t>OFFICIAL DOCUMENTS PHOTOCOPY</t>
  </si>
  <si>
    <t>13430</t>
  </si>
  <si>
    <t>AMC OF ONLINE EFFLUENT MONITORING SYSTEM</t>
  </si>
  <si>
    <t>20BDUPD4029E1ZY</t>
  </si>
  <si>
    <t>13431</t>
  </si>
  <si>
    <t>INTERNET FACILITY AT CETP PLANT</t>
  </si>
  <si>
    <t>13432</t>
  </si>
  <si>
    <t>INTERNET FACILITY AT R &amp; D PLANT</t>
  </si>
  <si>
    <t>13433</t>
  </si>
  <si>
    <t>Repair of 23 Nos A-Type Quarters at Tumandungri</t>
  </si>
  <si>
    <t>07ALWPM2860P2Z4</t>
  </si>
  <si>
    <t>13455</t>
  </si>
  <si>
    <t>Handling, Shifting, Screening, Weighing and Charging in Leach tank of Purification Plant</t>
  </si>
  <si>
    <t>20AOHPS3937F1Z1</t>
  </si>
  <si>
    <t>13456</t>
  </si>
  <si>
    <t>Erection of LT PCC at outside River Pump House (Intake Well)</t>
  </si>
  <si>
    <t>20ABIFA4423G1Z1</t>
  </si>
  <si>
    <t>13465</t>
  </si>
  <si>
    <t>ALIGNMENT OF 400KW,3000RPM,3.3KV MOTOR WITH BLOWER OF ACID PLANT</t>
  </si>
  <si>
    <t>20ADRPA9762B3ZR</t>
  </si>
  <si>
    <t>13466</t>
  </si>
  <si>
    <t>ENGAGEMENT OF THREE NOs 52SEATER BUSES FOR 03 MONTHS</t>
  </si>
  <si>
    <t>19AAAFE6997Q1ZE</t>
  </si>
  <si>
    <t>13469</t>
  </si>
  <si>
    <t>Study of Mercury across ICC Works</t>
  </si>
  <si>
    <t>20AAAFD7477L1ZD</t>
  </si>
  <si>
    <t>13480</t>
  </si>
  <si>
    <t>AMC OF ALTERNATIVE POWER PLANT WITH OPERATION OF DM PLANT</t>
  </si>
  <si>
    <t>13489</t>
  </si>
  <si>
    <t>Annual Contract for Maintenance of PCs, Printers and UPS at SURDA/MSB</t>
  </si>
  <si>
    <t>13499</t>
  </si>
  <si>
    <t>33KV Over Head Maintenance and Operation AMC for 2018-19</t>
  </si>
  <si>
    <t>19AAIFA7644J1Z2</t>
  </si>
  <si>
    <t>13504</t>
  </si>
  <si>
    <t>RENOVATION OF COOLING TOWERS RELATED TO CENTRAL AC PLANTS OF HCL/ICC</t>
  </si>
  <si>
    <t>20CTHPS6877H1Z8</t>
  </si>
  <si>
    <t>13508</t>
  </si>
  <si>
    <t>Casting of Copper Launders,Tapping Blocks/Spouts etc.</t>
  </si>
  <si>
    <t>13509</t>
  </si>
  <si>
    <t>Laying of Moorum Road towards south ventilation of at Kendadih Mine</t>
  </si>
  <si>
    <t>13510</t>
  </si>
  <si>
    <t>Repair job for safe operation of passenger -cum-goods Lift of Flash Smelter</t>
  </si>
  <si>
    <t>19AABCI3134K1ZK</t>
  </si>
  <si>
    <t>13511</t>
  </si>
  <si>
    <t>Annual Maintenance Contract for ARL4460-OES</t>
  </si>
  <si>
    <t>24AAECS9195B1ZA</t>
  </si>
  <si>
    <t>13512</t>
  </si>
  <si>
    <t>DEPUTATION OF SERVICE ENGINEER FOR FAULT FINDING AND RECTIFICATION OF 2 MVA DG SET.</t>
  </si>
  <si>
    <t>20AOLPS1017E2ZF</t>
  </si>
  <si>
    <t>13513</t>
  </si>
  <si>
    <t>Repairing and Face lifting work of Dispatch Section.</t>
  </si>
  <si>
    <t>13528</t>
  </si>
  <si>
    <t>Renovation/Modification of various Electrical Jobs/Electrical structure during 2018-19.</t>
  </si>
  <si>
    <t>20AADCC1607K2Z6</t>
  </si>
  <si>
    <t>13535</t>
  </si>
  <si>
    <t>Event Management of “Re-Opening of Rakha Mine &amp; Opening of Chapri Mine etc” at HCL / ICC, Ghatsila</t>
  </si>
  <si>
    <t>CREDIT PAYMENT_7 DAYS</t>
  </si>
  <si>
    <t>21AABC10315E7ZD</t>
  </si>
  <si>
    <t>13544</t>
  </si>
  <si>
    <t>Analysis of Copper Granulated Slag</t>
  </si>
  <si>
    <t>13553</t>
  </si>
  <si>
    <t>Transportation for Bhoomi Poojan for Opening of Chapri Mine, Re-Opening of Rakhamine and Opening of Rakha Concentrator</t>
  </si>
  <si>
    <t>19AADFK1010F1ZY</t>
  </si>
  <si>
    <t>13583</t>
  </si>
  <si>
    <t>Annual Maintenance Contract for Overhauling of Sub Assemblies for ICC Motor Garage Vehicles</t>
  </si>
  <si>
    <t>20AAFAS7833K1ZD</t>
  </si>
  <si>
    <t>13588</t>
  </si>
  <si>
    <t>Annual Contract for cleaning of foot valves at  Intake Well, Clarifier at WTP(Outside) &amp; Removal of vegetation at WTP(Outside).</t>
  </si>
  <si>
    <t>13600</t>
  </si>
  <si>
    <t>Construction of Boundary Wall at the backside of the Works(Phase-II)</t>
  </si>
  <si>
    <t>20CLVPD2459J1ZY</t>
  </si>
  <si>
    <t>13620</t>
  </si>
  <si>
    <t>Painting of complete MS Roof and support structures of the Concentrator Plant at Mosabani .</t>
  </si>
  <si>
    <t>20AARFM0174E1ZM</t>
  </si>
  <si>
    <t>13624</t>
  </si>
  <si>
    <t>REPAIR OF ACID PROOF TILES LINING JOB INSIDE WORKS 2018-19</t>
  </si>
  <si>
    <t>20ADFPP7843Q1Z1</t>
  </si>
  <si>
    <t>13630</t>
  </si>
  <si>
    <t>Laying of Vinyl Flooring at STB-4.</t>
  </si>
  <si>
    <t>13632</t>
  </si>
  <si>
    <t>AMC FOR THE OVERHAULING OF DIESEL ENGINES OF MOTOR GARAGE.</t>
  </si>
  <si>
    <t>13636</t>
  </si>
  <si>
    <t>Running repair and maintenance job of heat insulation inside works 2018-19</t>
  </si>
  <si>
    <t>20AAJFP7984P3ZE</t>
  </si>
  <si>
    <t>13638</t>
  </si>
  <si>
    <t>Rubber Lininng Job for DM Plant &amp; CPM.</t>
  </si>
  <si>
    <t>13660</t>
  </si>
  <si>
    <t>REPAIR OF PROJECTOR</t>
  </si>
  <si>
    <t>22AGIPV5223C1ZP</t>
  </si>
  <si>
    <t>13671</t>
  </si>
  <si>
    <t>Dismantling and Erection of LHS IV &amp; LHS V tube panels of Thermax side</t>
  </si>
  <si>
    <t>09AALFB2824Q1ZX</t>
  </si>
  <si>
    <t>13672</t>
  </si>
  <si>
    <t>ANNUAL MAINTENANCE OF SO2 BLOWER IN SULPHURIC ACID PLANT</t>
  </si>
  <si>
    <t>20AAZCS0319Q1ZU</t>
  </si>
  <si>
    <t>13687</t>
  </si>
  <si>
    <t>Mr. Partha Sarathi Das</t>
  </si>
  <si>
    <t>20ACDFS4862MIZY</t>
  </si>
  <si>
    <t>13690</t>
  </si>
  <si>
    <t>LOADING, TRANSPORATION AND UNLOADING OF ORE FROM KENDADIH MINES TO MOSABONI CONCENTRATOR PLANT,</t>
  </si>
  <si>
    <t>13696</t>
  </si>
  <si>
    <t>Renovation/repair of Duct-line related to Central AC Plant for FS Control Room.</t>
  </si>
  <si>
    <t>20AABCK1403H1ZE</t>
  </si>
  <si>
    <t>13712</t>
  </si>
  <si>
    <t>Job Contract for various activities in different deparments for operation,maintenance &amp; other related work of Moubhandar Works for the year 2019-20.</t>
  </si>
  <si>
    <t>20AGDPB7503L1ZW</t>
  </si>
  <si>
    <t>13714</t>
  </si>
  <si>
    <t>Structural and Sheeting Jobs for Package Boiler</t>
  </si>
  <si>
    <t>20AACFA0527G1ZC</t>
  </si>
  <si>
    <t>13742</t>
  </si>
  <si>
    <t>Job Contract for Maintenance activities of Flash Furnace and Slag Cleaning Furnace during March'19.</t>
  </si>
  <si>
    <t>20AKUPN0358C1ZE</t>
  </si>
  <si>
    <t>13744</t>
  </si>
  <si>
    <t>Printing of Drawings &amp; Scanning of review of Mining Plan &amp; PMCP for Surda Mining Lease from Outsourced Printing Shop</t>
  </si>
  <si>
    <t>13752</t>
  </si>
  <si>
    <t>CONSERVANCY CONTRACT FOR 03 MONTHS</t>
  </si>
  <si>
    <t>19AAWPA4954F1ZD</t>
  </si>
  <si>
    <t>13757</t>
  </si>
  <si>
    <t>REPAIRING OF FEED MILL HEAD OF BALL MILL NO.5 OF CONCENTRATOR PLANT.</t>
  </si>
  <si>
    <t>20AANFM3736C1Z0</t>
  </si>
  <si>
    <t>13758</t>
  </si>
  <si>
    <t>REPAIRING OF PITSMAN ASSEMBLY</t>
  </si>
  <si>
    <t>13767</t>
  </si>
  <si>
    <t>Annual Job Contract for Administrative office at ICC Moubhandar for a period of one year 2019-20.</t>
  </si>
  <si>
    <t>13768</t>
  </si>
  <si>
    <t>Annual Job Contracts for Hospital Services in Works Hospital at ICC,Moubhandar for a period of one year 2019-20.</t>
  </si>
  <si>
    <t>20AACFE3030A1ZO</t>
  </si>
  <si>
    <t>13775</t>
  </si>
  <si>
    <t>ANNUAL VERIFICATION AND STAMPING OF 60T WEIGHBRIDGE AT MSB PLANT</t>
  </si>
  <si>
    <t>13779</t>
  </si>
  <si>
    <t>Hiring of Diesel Operated Vehicles for Mosaboni Concentrator &amp; Surda Mine for six(06)months</t>
  </si>
  <si>
    <t>13790</t>
  </si>
  <si>
    <t>Providing &amp; fixing MS Gate for Bungalow NO. STB-4</t>
  </si>
  <si>
    <t>13811</t>
  </si>
  <si>
    <t>Painting of all process Equipments , pipe lines ,Vessels etc. of Smelter,Refinery &amp; WTP Plant &amp; inside Works</t>
  </si>
  <si>
    <t>13814</t>
  </si>
  <si>
    <t>Annual Rate Contract for Maintenance,Servicing &amp; Submission for Re-verification &amp; Stamping of weights weighing scales &amp; and machines at Moubhandar establishment for one year-2019</t>
  </si>
  <si>
    <t>13825</t>
  </si>
  <si>
    <t>Wiring of Director’s Bungalow and STB:4</t>
  </si>
  <si>
    <t>29AAACB8433D1ZU</t>
  </si>
  <si>
    <t>13833</t>
  </si>
  <si>
    <t>OVERHAULING OF BEML ENGINE OF WHEEL LOADER</t>
  </si>
  <si>
    <t>13842</t>
  </si>
  <si>
    <t>33kV O/H Line Maintenance for Kendadih Via Rakha S/S</t>
  </si>
  <si>
    <t>13843</t>
  </si>
  <si>
    <t>AMC of Water Treatment Plant, Operation and Maintenance of Revert Grinding Plant</t>
  </si>
  <si>
    <t>13844</t>
  </si>
  <si>
    <t>Operation and Maintenance of 0.80 MGD Capacity Sewerage Treatment plant at Moubhandar</t>
  </si>
  <si>
    <t>13903</t>
  </si>
  <si>
    <t>Engagement of 03 (Three) Nos. 52 Seater Buses for two years at ICC(2019-20)</t>
  </si>
  <si>
    <t>13907</t>
  </si>
  <si>
    <t>Repair of Floor at Converter Bay near Furnace Area.</t>
  </si>
  <si>
    <t>13908</t>
  </si>
  <si>
    <t>Repairing and Overhauling of Ball Mill No. 4 at Mosabani Concentrator Plant</t>
  </si>
  <si>
    <t>20CYLPS6208M1Z2</t>
  </si>
  <si>
    <t>13909</t>
  </si>
  <si>
    <t>CHEMICAL CLEANING OF BOILERS</t>
  </si>
  <si>
    <t>20AAFFD4807P1ZG</t>
  </si>
  <si>
    <t>13957</t>
  </si>
  <si>
    <t>30 days Credit</t>
  </si>
  <si>
    <t>13970</t>
  </si>
  <si>
    <t>HIRING OF JCB LOADER WITH DUMPER</t>
  </si>
  <si>
    <t>13980</t>
  </si>
  <si>
    <t>ANODE TRIMMING,PREPARATION &amp; CUTTING</t>
  </si>
  <si>
    <t>13987</t>
  </si>
  <si>
    <t>LOADING, TRANSPORTATION &amp; UNLOADING OF ORE FROM KENDADIH MINES TO MOSABONI CONC. PLANT</t>
  </si>
  <si>
    <t>13989</t>
  </si>
  <si>
    <t>Painting of Head Gear of Kendadih Mine</t>
  </si>
  <si>
    <t>13992</t>
  </si>
  <si>
    <t>Contract for Overhauling/Rewinding,Erection &amp; Commissioning of 10MVA-33KV/11KV Transformer at Surda 33KV Yard.</t>
  </si>
  <si>
    <t>13999</t>
  </si>
  <si>
    <t>14012</t>
  </si>
  <si>
    <t>PVC SHEET FIXING ON SS MOTHER BLANK</t>
  </si>
  <si>
    <t>20AELPS0015C2Z8</t>
  </si>
  <si>
    <t>14013</t>
  </si>
  <si>
    <t>REBABBITING OF BALL MILL TRUNIUN BEARINGS</t>
  </si>
  <si>
    <t>14016</t>
  </si>
  <si>
    <t>Lead Repair Jobs of Cells &amp; Tanks in Refinery</t>
  </si>
  <si>
    <t>14028</t>
  </si>
  <si>
    <t>Providing and fixing CGI Roof Sheeting for winding, compressor and electric panel rooms in Surda Mine area.</t>
  </si>
  <si>
    <t>14043</t>
  </si>
  <si>
    <t>Repair of Grain Store at Moubhandar Township</t>
  </si>
  <si>
    <t>14061</t>
  </si>
  <si>
    <t>INTERNET FACILITY AT GM'S RESIDENCE</t>
  </si>
  <si>
    <t>19ACKPC0285D1ZV</t>
  </si>
  <si>
    <t>14063</t>
  </si>
  <si>
    <t>NABL Traning Programe for 4 R&amp;D executives of ICC.</t>
  </si>
  <si>
    <t>14078</t>
  </si>
  <si>
    <t>SURDA:OFFICE MANAGEMENT,HOUSEKEEPING SERVICES &amp; DRAUGHTING JOB AT SURDA ADMIN BUILDING &amp; MINES MANAGER OFFICE.</t>
  </si>
  <si>
    <t>20BHMPS8293P1ZE</t>
  </si>
  <si>
    <t>14083</t>
  </si>
  <si>
    <t>AC REPAIRING AT SURDA ADMIN BUILDING</t>
  </si>
  <si>
    <t>14109</t>
  </si>
  <si>
    <t>Annual Contract for Unloading &amp; Transportation of coal &amp; Miscellaneous Items from trucks at ICC Works, MBR</t>
  </si>
  <si>
    <t>19ADXPG3785G1ZV</t>
  </si>
  <si>
    <t>14131</t>
  </si>
  <si>
    <t>20AFQPA8463A2ZV</t>
  </si>
  <si>
    <t>14136</t>
  </si>
  <si>
    <t>Room for DG Sets at Cooling Tower and besides Spray Pannel Pump House</t>
  </si>
  <si>
    <t>14139</t>
  </si>
  <si>
    <t>Fencing of Bungalows from STB-07 to STB-18:Phase -I</t>
  </si>
  <si>
    <t>14142</t>
  </si>
  <si>
    <t>HARD COKE</t>
  </si>
  <si>
    <t>14147</t>
  </si>
  <si>
    <t>Annual Contract for Despatch of Finished Goods from ICC Works, Moubhandar for the period 2019-20</t>
  </si>
  <si>
    <t>14148</t>
  </si>
  <si>
    <t>Repair and face lifting of front side boundary wall of MSB Conc.Plant</t>
  </si>
  <si>
    <t>20AASPU9947L1ZQ</t>
  </si>
  <si>
    <t>14149</t>
  </si>
  <si>
    <t>REPAIRING OF STEAM COIL OF FURNACE OIL TANK</t>
  </si>
  <si>
    <t>20AACCA4694B1Z8</t>
  </si>
  <si>
    <t>14150</t>
  </si>
  <si>
    <t>RENEWAL OF AMC OF AVERY MAKE WEIGHING MACHINES AT ICC WORKS 2019-20</t>
  </si>
  <si>
    <t>14151</t>
  </si>
  <si>
    <t>Bushes Cutting at Banalopa Magzine</t>
  </si>
  <si>
    <t>14152</t>
  </si>
  <si>
    <t>Repair and Renovation of Intake Well Building</t>
  </si>
  <si>
    <t>14153</t>
  </si>
  <si>
    <t>Repair of Road Entrance of Surda Mines</t>
  </si>
  <si>
    <t>14154</t>
  </si>
  <si>
    <t>Civil repair works at Mosabani Concentrator Plant</t>
  </si>
  <si>
    <t>14157</t>
  </si>
  <si>
    <t>EQUIPMENT &amp; MAINTENANCE JOB OF CONCENTRATOR PLANT AT MOSABONI</t>
  </si>
  <si>
    <t>14163</t>
  </si>
  <si>
    <t>Providing &amp; Fixing M.S. Grill in the openings of Administrative Building at Surda</t>
  </si>
  <si>
    <t>14165</t>
  </si>
  <si>
    <t>Job Contract for Conservancy Services at ICC 2019-2020</t>
  </si>
  <si>
    <t>20DUYPS9226K1ZS</t>
  </si>
  <si>
    <t>14172</t>
  </si>
  <si>
    <t>Refilling of Cartridges</t>
  </si>
  <si>
    <t>14182</t>
  </si>
  <si>
    <t>Collection,Preparation,Weighing &amp; Storage/Despatch of Copper Anode Slime from various places.</t>
  </si>
  <si>
    <t>14192</t>
  </si>
  <si>
    <t>JOB CONTRACT FOR VARIOUS ACTIVITIES IN DIFFERENT AREAS FOR ASSISTANCE IN OPERATION, MAINTENANCE AND OTHER RELATED JOBS OF SURDA MINE &amp; MOSABONI CONCENTRATOR PLANT.</t>
  </si>
  <si>
    <t>14196</t>
  </si>
  <si>
    <t>Crushing of Copper reverts to 5mm &amp; less than 5mm size &amp; Filling and loading the crushed reverts into containers/bags,</t>
  </si>
  <si>
    <t>14197</t>
  </si>
  <si>
    <t>Whitewashing and Distempering of Quarters in MBR Township</t>
  </si>
  <si>
    <t>14221</t>
  </si>
  <si>
    <t>Glaze Tiles Work of Toilets at Copper Club</t>
  </si>
  <si>
    <t>27AAECP8198H1ZU</t>
  </si>
  <si>
    <t>14224</t>
  </si>
  <si>
    <t>Hiring of 500 KVA DG Set for Mosabani Plant</t>
  </si>
  <si>
    <t>14260</t>
  </si>
  <si>
    <t>Hiring of LHDs (02 No ) for Operations at Surda Mine</t>
  </si>
  <si>
    <t>19AHAPM8752A1ZF</t>
  </si>
  <si>
    <t>14279</t>
  </si>
  <si>
    <t>RECONDITIONING,STATIC &amp; DYNAMIC BALANCING &amp; VIBRATION RECTIFICATION OF 400 KW,3.3 KV,2980 RPM MOTORS FOR ACID PLANT SO2 BLOWER.</t>
  </si>
  <si>
    <t>20AFWPR1648J2Z0</t>
  </si>
  <si>
    <t>14282</t>
  </si>
  <si>
    <t>HIRING DIESEL OPERATED VEHICLES FOR YEAR 2019-20</t>
  </si>
  <si>
    <t>14297</t>
  </si>
  <si>
    <t>REPAIRING OF DESKTOP</t>
  </si>
  <si>
    <t>14311</t>
  </si>
  <si>
    <t>Catalyst Screening,saddles- removal,sludge &amp; dust cleaning at SAP</t>
  </si>
  <si>
    <t>14314</t>
  </si>
  <si>
    <t>Providing and fixing Stainless steel roof sheeting inside works</t>
  </si>
  <si>
    <t>14318</t>
  </si>
  <si>
    <t>19AAMFS1067K2ZO</t>
  </si>
  <si>
    <t>14334</t>
  </si>
  <si>
    <t>Erection of New Refractory Lining in Convertors,Monometers and other jobs at Cast House.</t>
  </si>
  <si>
    <t>14335</t>
  </si>
  <si>
    <t>Repair of Sewerage line at Moubhandar Township</t>
  </si>
  <si>
    <t>20AJBPK0558M2ZE</t>
  </si>
  <si>
    <t>14355</t>
  </si>
  <si>
    <t>20AAMFK3677K1Z2</t>
  </si>
  <si>
    <t>14356</t>
  </si>
  <si>
    <t>20AAATC2716R2ZS</t>
  </si>
  <si>
    <t>14359</t>
  </si>
  <si>
    <t>Oxygen analysis of copper cathode samples</t>
  </si>
  <si>
    <t>19BIPPS3307AIZ9</t>
  </si>
  <si>
    <t>14383</t>
  </si>
  <si>
    <t>ANNUAL MAINTENANCE OF 33 KV OVERHEAD LINE FROM JADUGODA GRID TO KENDADIH MINE &amp; 11KV OVERHEAD LINE FROM BANALOPA MOSABONI TO RIVER GHAT PUMPING STATION</t>
  </si>
  <si>
    <t>14402</t>
  </si>
  <si>
    <t>OPERATION AND MAINTENANCE OF COAL AND ASH HANDLING PLANT</t>
  </si>
  <si>
    <t>27AIBPG7095E1ZA</t>
  </si>
  <si>
    <t>14411</t>
  </si>
  <si>
    <t>NDT TEST OF WINDERS AT SURDA MINES</t>
  </si>
  <si>
    <t>14412</t>
  </si>
  <si>
    <t>REPAIRING JOB OF 407 AMBULANCE REGISTRATION NO.BR 16F 2316</t>
  </si>
  <si>
    <t>19AAACI1256K1ZI</t>
  </si>
  <si>
    <t>14413</t>
  </si>
  <si>
    <t>Bi-annual Maintenance Contract for LECO RO 400</t>
  </si>
  <si>
    <t>14414</t>
  </si>
  <si>
    <t>Tyre &amp; Tube repairing of various sizes</t>
  </si>
  <si>
    <t>20AFMPA5378J1ZH</t>
  </si>
  <si>
    <t>14460</t>
  </si>
  <si>
    <t>Rejuvenation of Batteries</t>
  </si>
  <si>
    <t>14462</t>
  </si>
  <si>
    <t>Replacement of damaged spares and Overhaulling of Chiller Plant Compressors.</t>
  </si>
  <si>
    <t>14467</t>
  </si>
  <si>
    <t>Floor and wall tiles work at Copper club (Balance Portion)</t>
  </si>
  <si>
    <t>19ANFPP8325D1ZV</t>
  </si>
  <si>
    <t>14470</t>
  </si>
  <si>
    <t>Repair/Overhauling of Cooling Towers of Surda Mines</t>
  </si>
  <si>
    <t>14475</t>
  </si>
  <si>
    <t>Statutory Testing of Winder ropes of Surda Mine</t>
  </si>
  <si>
    <t>14502</t>
  </si>
  <si>
    <t>LOADING,UNLOADING &amp; TRANSPORTATION OF ORE,CONCENTRATE &amp; TAILING OF SURDA MINE &amp; CONCENTRATOR PLANT MOSABONI</t>
  </si>
  <si>
    <t>14505</t>
  </si>
  <si>
    <t>CLEANING, REMOVAL &amp; TRANSPORTATION OF SLUDGE, DEBRIS FROM RIVER BED &amp; INSIDE WORKS 2019</t>
  </si>
  <si>
    <t>20EDVPP3431E1ZM</t>
  </si>
  <si>
    <t>14510</t>
  </si>
  <si>
    <t>AMC For Radiator,FIP &amp; Water Pump of Garage Vehicles</t>
  </si>
  <si>
    <t>14511</t>
  </si>
  <si>
    <t>Fixing of MS Grills at GET Hostel</t>
  </si>
  <si>
    <t>14520</t>
  </si>
  <si>
    <t>SHIFTING OF 5 MVA GEC MAKE SCF TRANSFORMER AND REPLACEMENT AND COMMISSIONING WITH REPAIRED AREVA MAKE TRANSFORMER</t>
  </si>
  <si>
    <t>14534</t>
  </si>
  <si>
    <t>Depth Exploration work(Phas:II) at Surda Copper Mine</t>
  </si>
  <si>
    <t>14535</t>
  </si>
  <si>
    <t>Spillage-cleaning for Mosabani Concentrator Plant.</t>
  </si>
  <si>
    <t>14538</t>
  </si>
  <si>
    <t>AMC OF BLACKSMITH SHOP,FURNACE OIL DECANTING,MAINTENANCE OF OIL YARD, PIPE LINES &amp; STEAM LINE.</t>
  </si>
  <si>
    <t>19AAKFD9435E1Z7</t>
  </si>
  <si>
    <t>14541</t>
  </si>
  <si>
    <t>Inspection, Testing and Certification of Safety Valves of LPG Tanks (T-69&amp; T-70) and Oxygen VIST for the year 2019 under Rule 18 of SMPV (U), 1981.</t>
  </si>
  <si>
    <t>19AAECA2144G1ZY</t>
  </si>
  <si>
    <t>14600</t>
  </si>
  <si>
    <t>14611</t>
  </si>
  <si>
    <t>Annual Contract  for Collection,Transportation and Supply of various Materials like GCD Slag,Copper Concentrate,Clay,Removal of Waste Sludge &amp; RUbbish,etc by Dumpers/Trucks in ICC Works, Moubhandar.</t>
  </si>
  <si>
    <t>27AEPPV8165E1ZT</t>
  </si>
  <si>
    <t>14626</t>
  </si>
  <si>
    <t>14650</t>
  </si>
  <si>
    <t>ANNUAL OPERATION &amp; MAINTENANCE CONTRACT OF OTIS PASSENGER-CUM-GOODS LIFT AT FLASH SMELTER FOR 2019-20</t>
  </si>
  <si>
    <t>20AFDPB0770J1Z3</t>
  </si>
  <si>
    <t>14652</t>
  </si>
  <si>
    <t>MECHANISED CLEANING OPERATION IN FLASH FURNACE, SLAG CLEANING FURNACE &amp; Dryer</t>
  </si>
  <si>
    <t>14659</t>
  </si>
  <si>
    <t>OVERHAULING OF AUTO-ELECTRICAL ITEMS OF MOTOR GARAGE VEHICLES</t>
  </si>
  <si>
    <t>14660</t>
  </si>
  <si>
    <t>Providing &amp; Fixing of  2000Litres Capacity Water Tank at Convent School Moubhandar</t>
  </si>
  <si>
    <t>14661</t>
  </si>
  <si>
    <t>Providing M S Grill at the Windows of D B.</t>
  </si>
  <si>
    <t>14662</t>
  </si>
  <si>
    <t>Repair of Quarters at Moubhandar Township (Masonry) 2019-20</t>
  </si>
  <si>
    <t>14664</t>
  </si>
  <si>
    <t>SUPPLY &amp; ERECTION OF ITEMS FOR ERECTION &amp; COMMISSIOING OF 33 KV ,1250 AMPS,25 KA OUTDOOR VCB  ALONG WITH  CONTROL &amp; PROTECTION PANEL AS PER SCOPE OF WORK</t>
  </si>
  <si>
    <t>20AAACH7409R1ZF</t>
  </si>
  <si>
    <t>14710</t>
  </si>
  <si>
    <t>Renewal of AMC for 1200 LPM Matrix Printer</t>
  </si>
  <si>
    <t>20ANJPS1750K1ZZ</t>
  </si>
  <si>
    <t>14715</t>
  </si>
  <si>
    <t>Copper winding wire.</t>
  </si>
  <si>
    <t>CREDIT PAYMENT_45DAYS</t>
  </si>
  <si>
    <t>14719</t>
  </si>
  <si>
    <t>COPPER WIRE.</t>
  </si>
  <si>
    <t>14727</t>
  </si>
  <si>
    <t>Running Repair and Maintenance Contract of Civil Works for Mosabani Concentrator Plant for the yr 2019</t>
  </si>
  <si>
    <t>14728</t>
  </si>
  <si>
    <t>Upkeep and Facelifting work of buildings inside Works</t>
  </si>
  <si>
    <t>14736</t>
  </si>
  <si>
    <t>Supply and Installation of Sanitary Pad Vending Machine and Incinerator along with Sanitary Pads</t>
  </si>
  <si>
    <t>27AAACA3834B1Z8</t>
  </si>
  <si>
    <t>14751</t>
  </si>
  <si>
    <t>Deputation of  ABB Service Engineer</t>
  </si>
  <si>
    <t>100% ADVANCE against P.I.</t>
  </si>
  <si>
    <t>14772</t>
  </si>
  <si>
    <t>Magnetic Defectograph Test for Surda Mine</t>
  </si>
  <si>
    <t>20BGJPS0449H1ZI</t>
  </si>
  <si>
    <t>14773</t>
  </si>
  <si>
    <t>HIRING OF JCB</t>
  </si>
  <si>
    <t>14774</t>
  </si>
  <si>
    <t>Stringing of Aerial Bunch Cable at Mosaboni Plant</t>
  </si>
  <si>
    <t>14775</t>
  </si>
  <si>
    <t>Painting of Verandah at Director's Bunglow.</t>
  </si>
  <si>
    <t>14776</t>
  </si>
  <si>
    <t>Hiring of JCB Loader at Mines</t>
  </si>
  <si>
    <t>14778</t>
  </si>
  <si>
    <t>REMETALLING OF SIROCCO BLOWER WHITE METAL BEARINGS</t>
  </si>
  <si>
    <t>14785</t>
  </si>
  <si>
    <t>RUBBER LINING JOB FOR FLOATATION CELL ( MOSABONI CONCENTRATOR PLANT)</t>
  </si>
  <si>
    <t>14802</t>
  </si>
  <si>
    <t>Repair of Archery room under CSR.</t>
  </si>
  <si>
    <t>14807</t>
  </si>
  <si>
    <t>Civil repair works for 3.3KV MCC room at Mosabani plant</t>
  </si>
  <si>
    <t>20AAIFP8502G1ZK</t>
  </si>
  <si>
    <t>14831</t>
  </si>
  <si>
    <t>6th Chargeable Servicing of New Fire Tender HR-69TE-1993(JH-05BF-1554).</t>
  </si>
  <si>
    <t>21AAICA3834D1Z8</t>
  </si>
  <si>
    <t>14840</t>
  </si>
  <si>
    <t>Supply of 20KW capacity on-line (without Battery Backup) complete systems of solar PV power plant system.</t>
  </si>
  <si>
    <t>14841</t>
  </si>
  <si>
    <t>Operation &amp; Maintenance of 30 CUM/HR &amp; 20 CUM/HR Softenimg Plant.</t>
  </si>
  <si>
    <t>14847</t>
  </si>
  <si>
    <t>Analysis of KCC PMC Sample</t>
  </si>
  <si>
    <t>14861</t>
  </si>
  <si>
    <t>Providing and fixing GI chain link fence in between DB and Golf club</t>
  </si>
  <si>
    <t>14876</t>
  </si>
  <si>
    <t>Shifting, erection , commissioning of various machineries/equipments and other miscellaneous works as per detailed scope of work for dewatering works at Rakha Mine</t>
  </si>
  <si>
    <t>14878</t>
  </si>
  <si>
    <t>Inspection, Testing and Certification of Passenger Lift, Lifting Tools &amp; Tackles and EOT Cranes as well as Thickness Measurement of Un-Fired PVs/Air Receivers/ Storage Tanks as per Factories Act read with JharkhandFactories Rules for 2019</t>
  </si>
  <si>
    <t>08AAOFG9338F1ZZ</t>
  </si>
  <si>
    <t>14886</t>
  </si>
  <si>
    <t>MONITORING OF ENVIRONMENTAL PARAMETERS AT RAKHA MINES</t>
  </si>
  <si>
    <t>14890</t>
  </si>
  <si>
    <t>Providing and fixing MS grating at Mill floors in Concentrator Plant at Mosabani</t>
  </si>
  <si>
    <t>14897</t>
  </si>
  <si>
    <t>Construction of Explosive Magazine at Rakha mines</t>
  </si>
  <si>
    <t>14898</t>
  </si>
  <si>
    <t>ANNUAL MAINTENANCE OF SAP,REFINERY,ETC FOR THE YEAR :2019-20</t>
  </si>
  <si>
    <t>14909</t>
  </si>
  <si>
    <t>Laying floor and wall tiles at MBR hospital</t>
  </si>
  <si>
    <t>14911</t>
  </si>
  <si>
    <t>OSP FOR ELECTRICAL WORKS</t>
  </si>
  <si>
    <t>08AACCA7730N1ZE</t>
  </si>
  <si>
    <t>14914</t>
  </si>
  <si>
    <t>Re-commissioning of CEMS from Existing Boiler Stack to modified Package Boiler Stack.</t>
  </si>
  <si>
    <t>14915</t>
  </si>
  <si>
    <t>Overhauling of Power Distribution:1500 KVA Transformer of Flash Smelter Electrical.</t>
  </si>
  <si>
    <t>14916</t>
  </si>
  <si>
    <t>Servicing and Maintenance of 30T Weighbridge at Mosaboni Cocentrator Plant</t>
  </si>
  <si>
    <t>19AACFJ5113D1ZS</t>
  </si>
  <si>
    <t>14919</t>
  </si>
  <si>
    <t>Methane Gas Testing Chamber at Surda Mine</t>
  </si>
  <si>
    <t>Mr. Bablu Kumar Maji</t>
  </si>
  <si>
    <t>PAYMENT THROUGH BANK DOCUMENT</t>
  </si>
  <si>
    <t>14922</t>
  </si>
  <si>
    <t>OPERATION AND MAINTENANCE OF COMPRESSOR</t>
  </si>
  <si>
    <t>33AAACE1681L1ZP</t>
  </si>
  <si>
    <t>14940</t>
  </si>
  <si>
    <t>Deputation of Service Engineer for the alignment and synchronisation of OLTC of Areva Make 5MVA Furnace Transformer</t>
  </si>
  <si>
    <t>14954</t>
  </si>
  <si>
    <t>Major Repair of Overhead Reservoir at Tumandungri and Surda area</t>
  </si>
  <si>
    <t>14967</t>
  </si>
  <si>
    <t>Ambulance and Pick up Van for Mines</t>
  </si>
  <si>
    <t>08ABJPJ2602F1Z1</t>
  </si>
  <si>
    <t>14969</t>
  </si>
  <si>
    <t>Complete Overhauling and Maintenance of Transformers installed at Mosabani Plant</t>
  </si>
  <si>
    <t>14972</t>
  </si>
  <si>
    <t>Replacement of Damaged Drinking Water Pipe Line at MBR Township</t>
  </si>
  <si>
    <t>20AARFB8694A1ZG</t>
  </si>
  <si>
    <t>14984</t>
  </si>
  <si>
    <t>WOODEN PLANKS</t>
  </si>
  <si>
    <t>20AACCE4671N1ZM</t>
  </si>
  <si>
    <t>14992</t>
  </si>
  <si>
    <t>Renewal of AMC for Online UPS</t>
  </si>
  <si>
    <t>14996</t>
  </si>
  <si>
    <t>REBABBITING OF TRUNIUN BEARING OF BALL MILL</t>
  </si>
  <si>
    <t>15012</t>
  </si>
  <si>
    <t>Plan (Map) Drawing &amp; its approval and Stability Tests with approval &amp; Factory Licencing for Mosaboni Concentrator Plant.</t>
  </si>
  <si>
    <t>15017</t>
  </si>
  <si>
    <t>Repair / Replacement of Pipe lines,Support structure at Settling tanks in Filter House</t>
  </si>
  <si>
    <t>15020</t>
  </si>
  <si>
    <t>Annual Equipment Maintenance &amp; Repair of Converter/Monometer Furnace</t>
  </si>
  <si>
    <t>15028</t>
  </si>
  <si>
    <t>Overhauling and Repairing of  5MVA Transformer</t>
  </si>
  <si>
    <t>27AAACT3910D1ZS</t>
  </si>
  <si>
    <t>15039</t>
  </si>
  <si>
    <t>AMC  for 02 NOs. FO FIRED THERMAX BOILERS</t>
  </si>
  <si>
    <t>15097</t>
  </si>
  <si>
    <t>Annual Maintenance &amp; Operation Contract of Central Air Conditioning plants for the Year 2019-20.</t>
  </si>
  <si>
    <t>15098</t>
  </si>
  <si>
    <t>Erection of New Refractory Lining in Converters,Monometers and other jobs at Cast House.</t>
  </si>
  <si>
    <t>20AABCC8298E1ZT</t>
  </si>
  <si>
    <t>15100</t>
  </si>
  <si>
    <t>COURIER SERVICES</t>
  </si>
  <si>
    <t>15104</t>
  </si>
  <si>
    <t>Vehicles for Surda Mine and Mosaboni Concentrator Plant for one year</t>
  </si>
  <si>
    <t>15109</t>
  </si>
  <si>
    <t>Running repair and maint.Contract (Masonry) inside Works(2019-20)</t>
  </si>
  <si>
    <t>20ACWPA1972H1ZQ</t>
  </si>
  <si>
    <t>15116</t>
  </si>
  <si>
    <t>HT BOLT &amp; SS BOLT</t>
  </si>
  <si>
    <t>15137</t>
  </si>
  <si>
    <t>Plantation of  trees Saplings  in nearby villages (under CSR &amp; S initiatives by HCL/ICC)</t>
  </si>
  <si>
    <t>15147</t>
  </si>
  <si>
    <t>INTERNET FACILITY AT GENERAL OFFICE</t>
  </si>
  <si>
    <t>15158</t>
  </si>
  <si>
    <t>Running Contract for Horticulture Operations for up keep of the DB,annexed DB,General Office,Works,STB-02 and Hospital Area.</t>
  </si>
  <si>
    <t>15159</t>
  </si>
  <si>
    <t>Repair/Maintenance of Internal and External Service Line and Water Supply at MBR Township 2019-20.</t>
  </si>
  <si>
    <t>15179</t>
  </si>
  <si>
    <t>PROVIDING AND FIXING OF ALUMINIUM WINDOW at GRAIN STORE</t>
  </si>
  <si>
    <t>15180</t>
  </si>
  <si>
    <t>Rope Testing for Winders of Surda Mines</t>
  </si>
  <si>
    <t>15181</t>
  </si>
  <si>
    <t>Maintenance of different package ACs at IJT,Waste Heat Boiler and Refinery for year 2019-20.</t>
  </si>
  <si>
    <t>15193</t>
  </si>
  <si>
    <t>NDT of 4 Shaft Surda Mines</t>
  </si>
  <si>
    <t>15213</t>
  </si>
  <si>
    <t>Complete Repairing of 400 KVA,11/0.433KV Transformer of Surda Mine</t>
  </si>
  <si>
    <t>15215</t>
  </si>
  <si>
    <t>Preparation/Fabrication of Bellman Room at Sub Incline platt of Surda Mines</t>
  </si>
  <si>
    <t>15222</t>
  </si>
  <si>
    <t>Shifting,Erection,Commissioning of various Machineries/Equipments and other miscellaneous works as per detailed scope of work for dewatering works at Rakha Mine</t>
  </si>
  <si>
    <t>15227</t>
  </si>
  <si>
    <t>WINDOWS XPCPU FOR LECO RO-400</t>
  </si>
  <si>
    <t>15248</t>
  </si>
  <si>
    <t>CHEMICAL CLEANING OF THERMAX PACKAGE BOILERS</t>
  </si>
  <si>
    <t>20AABCJ9086F1ZO</t>
  </si>
  <si>
    <t>15249</t>
  </si>
  <si>
    <t>MB FUMIGATION TO THE WOODEN PALLET FOR SLIME EXPORT</t>
  </si>
  <si>
    <t>15250</t>
  </si>
  <si>
    <t>Repair of sofa of Meeting room of the DB</t>
  </si>
  <si>
    <t>15251</t>
  </si>
  <si>
    <t>Crushing of Copper reverts to 5mm &amp; less than 5mm size &amp; Filling the crushed reverts into containers/bags</t>
  </si>
  <si>
    <t>15255</t>
  </si>
  <si>
    <t>NDT for 3 Shaft SI Skip</t>
  </si>
  <si>
    <t>15257</t>
  </si>
  <si>
    <t>JUNGLE CUTTING AT CONCENTRATOR PLANT MOSABONI</t>
  </si>
  <si>
    <t>15263</t>
  </si>
  <si>
    <t>Repair of Transmission for LHD of Surda Mines</t>
  </si>
  <si>
    <t>15273</t>
  </si>
  <si>
    <t>Engagement of NGO for implementation of Civil related CSR &amp; S activities</t>
  </si>
  <si>
    <t>19AAETS0700P1Z8</t>
  </si>
  <si>
    <t>15274</t>
  </si>
  <si>
    <t>Engagement of NGO for carrying out CSR &amp; S activities for FY 2019-20</t>
  </si>
  <si>
    <t>15275</t>
  </si>
  <si>
    <t>Inspection, Testing and Certification of EOT Cranes as well as Thickness Measurement of Un-Fired PVs/Air Receivers as per Factories Act read with JharkhandFactories Rules for 2019 for Mosaboni Conentrator Plant</t>
  </si>
  <si>
    <t>15276</t>
  </si>
  <si>
    <t>Cartridges Refurbishment/Retonning.</t>
  </si>
  <si>
    <t>15281</t>
  </si>
  <si>
    <t>Miscellaneous works for structural repair,replacement of roof sheeting,expanded metal net of work boundary wall ,maintenence of rail track and cleaning of roofs for plant buildings.</t>
  </si>
  <si>
    <t>20AJEPA6677L1Z8</t>
  </si>
  <si>
    <t>15283</t>
  </si>
  <si>
    <t>LED LIGHT</t>
  </si>
  <si>
    <t>15288</t>
  </si>
  <si>
    <t>Biannual Pollution monitoring of ICC Moubhandar works</t>
  </si>
  <si>
    <t>19AAACY2580L1ZV</t>
  </si>
  <si>
    <t>15303</t>
  </si>
  <si>
    <t>RENEWAL OF AMC FOR CALIBRATION OF TEST &amp; MASTER INSTRUMENTS UNDER ISO</t>
  </si>
  <si>
    <t>20ABEPA6311P2Z1</t>
  </si>
  <si>
    <t>15308</t>
  </si>
  <si>
    <t>33 KV ISOLATOR</t>
  </si>
  <si>
    <t>19AABCE2998K1Z2</t>
  </si>
  <si>
    <t>15331</t>
  </si>
  <si>
    <t>Renewal of Client Server Antivirus</t>
  </si>
  <si>
    <t>21AAACI4625C2ZA</t>
  </si>
  <si>
    <t>15332</t>
  </si>
  <si>
    <t>AMC for Telephone Exchange for Yr: 2019-20</t>
  </si>
  <si>
    <t>15335</t>
  </si>
  <si>
    <t>PHOTOCOPYING(XEROX COPY) OF COMPANY OFFICIAL DOCUMENTS</t>
  </si>
  <si>
    <t>15337</t>
  </si>
  <si>
    <t>Contract for Collection of Materials &amp; delivery of materials at Stores (Moubhandar &amp; Mosabani) and other jobs as per scope of Work for One Year.</t>
  </si>
  <si>
    <t>15357</t>
  </si>
  <si>
    <t>GROUTING GUN</t>
  </si>
  <si>
    <t>15367</t>
  </si>
  <si>
    <t>Dismantling &amp; Maintenance Contract for Mosaboni Concentrator Plant( 06 Months period)</t>
  </si>
  <si>
    <t>15371</t>
  </si>
  <si>
    <t>Fire Safety Audit for Moubhandar Works Hospital</t>
  </si>
  <si>
    <t>15372</t>
  </si>
  <si>
    <t>REPAIR/MAINTENANCE OF EQUIPMENTS FOR INSIDE/OUTSIDE WORKS DURING 2019-20</t>
  </si>
  <si>
    <t>15377</t>
  </si>
  <si>
    <t>HIRING OF JCB LOADER</t>
  </si>
  <si>
    <t>19AABCH9266R1ZM</t>
  </si>
  <si>
    <t>15379</t>
  </si>
  <si>
    <t>DENTAL ITEMS</t>
  </si>
  <si>
    <t>15393</t>
  </si>
  <si>
    <t>Reapiring and Overhauling of Ball Mill No. 1 at Mosabani Concentrator</t>
  </si>
  <si>
    <t>15396</t>
  </si>
  <si>
    <t>Engine Overhauling of Ambassador Car Registration No.No.BR-16A/0363</t>
  </si>
  <si>
    <t>15398</t>
  </si>
  <si>
    <t>Engagement of M/s Shamayita Math (NGO) for implementation of Nutrition Project</t>
  </si>
  <si>
    <t>09AAACE0575F1ZU</t>
  </si>
  <si>
    <t>15404</t>
  </si>
  <si>
    <t>"Smart Classroom Solution for improving learning outcomes &amp; education quality through 'All in One Device' in 21 Secondary &amp; Senior Secondary Class in East Singhbhum Distt,Jharkhand" at ICC in CSR Project areas for FY 2019-20</t>
  </si>
  <si>
    <t>10AAEFE4722H1Z0</t>
  </si>
  <si>
    <t>15419</t>
  </si>
  <si>
    <t>Engagement of Security Agency for two years(2020-22)</t>
  </si>
  <si>
    <t>15420</t>
  </si>
  <si>
    <t>AMC of PCs, Printers &amp; its Accessories</t>
  </si>
  <si>
    <t>19BKXPD2875E1ZP</t>
  </si>
  <si>
    <t>15426</t>
  </si>
  <si>
    <t>Printing of Drawings &amp; Scanning of Mining Plan for Kendadih , Surda &amp; rakha Mining Lease from Outsourced</t>
  </si>
  <si>
    <t>15427</t>
  </si>
  <si>
    <t>Heat Insulation jobs for Furnace OIL TANK NO:-1</t>
  </si>
  <si>
    <t>20AAECA3155F1ZC</t>
  </si>
  <si>
    <t>15431</t>
  </si>
  <si>
    <t>Relays Testing of Breakers at Surda Mine</t>
  </si>
  <si>
    <t>20ABWPP9348K1ZW</t>
  </si>
  <si>
    <t>15433</t>
  </si>
  <si>
    <t>REGULAR MAINTENANCE OF ELECTRICAL INSTALLATIONS UNDER E.R PLANT AND OTHER JOBS.</t>
  </si>
  <si>
    <t>15435</t>
  </si>
  <si>
    <t>Providing Plant Saplings for the garden of DB, General Office STB-02 &amp; Annexed DB</t>
  </si>
  <si>
    <t>15462</t>
  </si>
  <si>
    <t>Fabrication of cable racks and dressing of cables at Mosabani Plant</t>
  </si>
  <si>
    <t>15464</t>
  </si>
  <si>
    <t>Complete Overhauling,Testing of Transformer of Surda Mine</t>
  </si>
  <si>
    <t>15465</t>
  </si>
  <si>
    <t>Operation &amp; Maintenance of Central Effluent Treatment Plant on per month basis</t>
  </si>
  <si>
    <t>15472</t>
  </si>
  <si>
    <t>Annual Maintenance Contract for Water Treatment Plant</t>
  </si>
  <si>
    <t>15480</t>
  </si>
  <si>
    <t>Annual Contract for cleaning of foot valves at Intake Well, Clarifier at WTP(Outside) &amp; removal of vegetation at WTP(Outside)</t>
  </si>
  <si>
    <t>15484</t>
  </si>
  <si>
    <t>OPERATION OF DM PLANT FOR TWO MONTHS</t>
  </si>
  <si>
    <t>15486</t>
  </si>
  <si>
    <t>Renovation / Modification of varous Electrical Jobs &amp; Electrical Structure during 2019-20</t>
  </si>
  <si>
    <t>15490</t>
  </si>
  <si>
    <t>SUPPLY OF 33 KV ,1250 AMPS,25 KA OUTDOOR VCB  ALONG WITH ALL ITEMS AND CONTROL &amp; PROTECTION PANEL FOR ERECTION &amp; COMMISSIOING OF VCB AS PER SCOPE OF WORK &amp; ANNEXURE ATTACHED</t>
  </si>
  <si>
    <t>15491</t>
  </si>
  <si>
    <t>Providing consultancy services for preparation of EIA-EMP report for grant of Environmental Clearance for proposed Copper Beneficiation Plant alongwith tailing pond at Rakha</t>
  </si>
  <si>
    <t>19AANFT6817H1ZM</t>
  </si>
  <si>
    <t>15500</t>
  </si>
  <si>
    <t>CAVO TYRE, TUBE  AND FLAP</t>
  </si>
  <si>
    <t>19AGKPG9419M1ZQ</t>
  </si>
  <si>
    <t>15508</t>
  </si>
  <si>
    <t>INSPECTION OF KHANDELWAL MAKE EOT CRANE IN REFINERY</t>
  </si>
  <si>
    <t>15514</t>
  </si>
  <si>
    <t>Renewal of Broadband Internet Connection for CETP</t>
  </si>
  <si>
    <t>15515</t>
  </si>
  <si>
    <t>Renewal of Broadband Internet Connection for pollution at R &amp; D Deptt.</t>
  </si>
  <si>
    <t>15518</t>
  </si>
  <si>
    <t>AMC for 33KV Overhead line Maintanance and Operation of 33KV Substation for the year 2019-2020.</t>
  </si>
  <si>
    <t>19ADIPG2614H1ZQ</t>
  </si>
  <si>
    <t>15524</t>
  </si>
  <si>
    <t>AIRLEG SPARES FOR SURDA MINES.</t>
  </si>
  <si>
    <t>Mr. Deepak Imrat Shiv</t>
  </si>
  <si>
    <t>15531</t>
  </si>
  <si>
    <t>NDT Test of Winders and 4Shaft Man Riding Cage</t>
  </si>
  <si>
    <t>15548</t>
  </si>
  <si>
    <t>Baseline Environmental Data Collection for Surda Mine</t>
  </si>
  <si>
    <t>15558</t>
  </si>
  <si>
    <t>Rubber lining for Floatation Cell</t>
  </si>
  <si>
    <t>15562</t>
  </si>
  <si>
    <t>RUBBER LINING JOB AT CONCENTRATOR PLANT MOSABONI</t>
  </si>
  <si>
    <t>15583</t>
  </si>
  <si>
    <t>ANNUAL VERIFICATION AND STAMPING OF 60 T WEIGHBRIDGE AT MSB PLANT</t>
  </si>
  <si>
    <t>15584</t>
  </si>
  <si>
    <t>AMC MULTI WEIGH 60 TON RWB</t>
  </si>
  <si>
    <t>15608</t>
  </si>
  <si>
    <t>Statutory Rope Testing for Surda Mines' Winders</t>
  </si>
  <si>
    <t>15611</t>
  </si>
  <si>
    <t>Preparation of Cycle Stand at Surda Mine</t>
  </si>
  <si>
    <t>15615</t>
  </si>
  <si>
    <t>Revamping/Retrofitting/Rectification/Modification job of KHANDELWAL MAKE 10/2T EOT Crane</t>
  </si>
  <si>
    <t>19ACUFS1466Q1ZY</t>
  </si>
  <si>
    <t>15616</t>
  </si>
  <si>
    <t>Ball mill discharge head</t>
  </si>
  <si>
    <t>06AAACS3407L1ZG</t>
  </si>
  <si>
    <t>15620</t>
  </si>
  <si>
    <t>SPARES FOR SYMON CONE CRUSHER</t>
  </si>
  <si>
    <t>19AAECB5393A1ZS</t>
  </si>
  <si>
    <t>15647</t>
  </si>
  <si>
    <t>Fogging in MBR Township</t>
  </si>
  <si>
    <t>20AAACN9967E2ZG</t>
  </si>
  <si>
    <t>15649</t>
  </si>
  <si>
    <t>Insurance Coverage for Company Vehicles</t>
  </si>
  <si>
    <t>15652</t>
  </si>
  <si>
    <t>Consultancy Services for Environmental Clearance of Surda Mining Lease at ICC(Lease area-388.68 Hectares) for proposed capacity expansion to 0.9MTPA</t>
  </si>
  <si>
    <t>20AAFFE2184A1Z8</t>
  </si>
  <si>
    <t>15654</t>
  </si>
  <si>
    <t>Job Contract for dewatering activities &amp; other essential services of Surda Mine and Mosaboni Concentrator Plant.</t>
  </si>
  <si>
    <t>20AACCS7786C1ZH</t>
  </si>
  <si>
    <t>15655</t>
  </si>
  <si>
    <t>Testing of Sheave Wheel of 4 Shaft</t>
  </si>
  <si>
    <t>20AYAPJ8004H1Z1</t>
  </si>
  <si>
    <t>15657</t>
  </si>
  <si>
    <t>C I BUTTERFLY VALVE SIZE 4"(100MM) &amp; spring.</t>
  </si>
  <si>
    <t>15661</t>
  </si>
  <si>
    <t>Consultancy Services regarding Preparation of Addendum to EIA/EMP and Damage Assessment Report as per MOEFCC Notification dated 14th March,2017 for Capacity Expansion of Surda Underground  Copper  Mine from 0.317 MTPA  to 0.9 MTPA.</t>
  </si>
  <si>
    <t>15664</t>
  </si>
  <si>
    <t>Annual Job Contract for Hospital Services in Works Hospital at ICC,Moubhandar for a period of one year 2020-21.</t>
  </si>
  <si>
    <t>15665</t>
  </si>
  <si>
    <t>Annual Job Contract for Administrative office at ICC,Moubhandar for a period of one year 2020-21.</t>
  </si>
  <si>
    <t>15666</t>
  </si>
  <si>
    <t>SHIFTING OF SLAG FROM RIVER SIDE</t>
  </si>
  <si>
    <t>15670</t>
  </si>
  <si>
    <t>Job Contract for dewatering activities and other essential services at Surda Mine</t>
  </si>
  <si>
    <t>15674</t>
  </si>
  <si>
    <t>Depth Exploration Work(Phase III) at Surda Copper Mine(Work Order Ref:HCL/HO/WO/Surda_Depth Exploration_Phase-III/20 Dtd 08.01.2020)</t>
  </si>
  <si>
    <t>20AGSPB5721H1ZQ</t>
  </si>
  <si>
    <t>15676</t>
  </si>
  <si>
    <t>LABORATORY REAGENT</t>
  </si>
  <si>
    <t>19AAAFE8446NIZW</t>
  </si>
  <si>
    <t>15677</t>
  </si>
  <si>
    <t>Calibration of ICC R&amp;D Balance, oven, muffle and weight box.</t>
  </si>
  <si>
    <t>15679</t>
  </si>
  <si>
    <t>15681</t>
  </si>
  <si>
    <t>Chemical Cleaning Of IJT Boilers</t>
  </si>
  <si>
    <t>15682</t>
  </si>
  <si>
    <t>Job Contract for dewatering activities and other essential services of Surda Mine</t>
  </si>
  <si>
    <t>15683</t>
  </si>
  <si>
    <t>REPAIRING OF DISCHARGE MILL HEAD OF BALL MILL NO.5 OF CONCENTRATOR PLANT.</t>
  </si>
  <si>
    <t>15684</t>
  </si>
  <si>
    <t>Providing and fixing discharge chute for mined ore at Kendadih Copper Mine</t>
  </si>
  <si>
    <t>27AABCM9165C1ZH</t>
  </si>
  <si>
    <t>15685</t>
  </si>
  <si>
    <t>20ALCPS5842H1Z8</t>
  </si>
  <si>
    <t>15688</t>
  </si>
  <si>
    <t>Spares for 220 HP Pump of Surda Mines</t>
  </si>
  <si>
    <t>15692</t>
  </si>
  <si>
    <t>Engagement of Pool vehicles for Year 2020-2021</t>
  </si>
  <si>
    <t>15694</t>
  </si>
  <si>
    <t>Operation of DM Plant for six(06)months</t>
  </si>
  <si>
    <t>15700</t>
  </si>
  <si>
    <t>REQUIRED FOR 33 KV RAKHA OVERHEAD LINE</t>
  </si>
  <si>
    <t>15702</t>
  </si>
  <si>
    <t>15703</t>
  </si>
  <si>
    <t>27AADCA0435B1ZE</t>
  </si>
  <si>
    <t>15704</t>
  </si>
  <si>
    <t>Consultancy Services for validation of data in existing EIA,rectification and Preparation of Damage Assessment Report  and co-ordination for grant of environment clearance for Surda Underground Copper Mine.</t>
  </si>
  <si>
    <t>15708</t>
  </si>
  <si>
    <t>Courier Services from ICC Moubhandar to Corporate Office-Kolkata for the period of one year (2020-21)</t>
  </si>
  <si>
    <t>15709</t>
  </si>
  <si>
    <t>Rubber lining job at Mosabani Concentrator Plant</t>
  </si>
  <si>
    <t>20JNGPS3977A1ZX</t>
  </si>
  <si>
    <t>15710</t>
  </si>
  <si>
    <t>Refilling of Toner</t>
  </si>
  <si>
    <t>23AAAFW9135C1ZG</t>
  </si>
  <si>
    <t>15715</t>
  </si>
  <si>
    <t>ALUM - ALUMINO FERRIC ALUM GR-   AL203 CONTENT 15%</t>
  </si>
  <si>
    <t>15717</t>
  </si>
  <si>
    <t>Repair and Replacement of Floatation cell at Mosabani Concentrator Plant</t>
  </si>
  <si>
    <t>15718</t>
  </si>
  <si>
    <t>Servicing, Maintenance and Stamping of 30T Weighbridge at Mosaboni Concentrator Plant</t>
  </si>
  <si>
    <t>21AAATC2716R1ZR</t>
  </si>
  <si>
    <t>15719</t>
  </si>
  <si>
    <t>Conducting test works for Copper ore at ICC Mines</t>
  </si>
  <si>
    <t>15720</t>
  </si>
  <si>
    <t>Pest control treatment / Anti termite treatment and fixing false ceiling roof boards</t>
  </si>
  <si>
    <t>20AAACC7443G1Z5</t>
  </si>
  <si>
    <t>15721</t>
  </si>
  <si>
    <t>MULTI STAGE RING SECTION PUMP WITH 200kW, IE-3,415V MOTOR, VFD, VFD STARTER PANEL, ALL VALVES, BASE PLATE, COUPLINGS, PRESSURE &amp; VACUUM GAUGES, BOLTS ETC AS PER DETAILED DESCRIPTION</t>
  </si>
  <si>
    <t>15738</t>
  </si>
  <si>
    <t>Job contract for various activities for assistance in Operation, Maintenance and other related jobs of Mosabani Plant for a period of three months.</t>
  </si>
  <si>
    <t>15745</t>
  </si>
  <si>
    <t>Watch keeping of Cycle/scooter stand near Company’s Main Gate at ICC Works, Moubhandar for 03 months.</t>
  </si>
  <si>
    <t>20AADCB3045N1ZY</t>
  </si>
  <si>
    <t>15752</t>
  </si>
  <si>
    <t>Supply of Hi- Chrome Grinding Media Balls (80 mm), validity of the PO shall be valid w.e.f. 15.10.2020</t>
  </si>
  <si>
    <t>15756</t>
  </si>
  <si>
    <t>SURDA OFFICE MANAGEMENT,HOUSEKEEPING SERVICES,AUTOCAD, DRAUGHTING JOB AT SURDA ADMIN BULIDING AND MINES MANAGER OFFICE FOR TWO MONTHS</t>
  </si>
  <si>
    <t>15767</t>
  </si>
  <si>
    <t>Contract for providing Conservancy Services for cleaning and upkeep of the offices &amp; Township premises at Moubhandar(Ghatsila) for a period of one year_2020-21.</t>
  </si>
  <si>
    <t>15770</t>
  </si>
  <si>
    <t>15771</t>
  </si>
  <si>
    <t>Printing of Drawings &amp; Scanning of Mining Plan for Kendadih,Surda &amp; Rakha Mining Lease From Outsourced</t>
  </si>
  <si>
    <t>20AACCG7908C2Z4</t>
  </si>
  <si>
    <t>15773</t>
  </si>
  <si>
    <t>HYPO ACID LIQUID CHLORINE</t>
  </si>
  <si>
    <t>36BEEPT6531G1ZC</t>
  </si>
  <si>
    <t>15777</t>
  </si>
  <si>
    <t>POWER DISTRIBUTION TRANSFORMER, 50 KVA, 33KV/433V, OUTDOOR TYPE , COPPER WOUND, OIL FILLED</t>
  </si>
  <si>
    <t>15778</t>
  </si>
  <si>
    <t>Maintenance of 33 KV Over Head Transmission Line from Jadugoda Grid Substation to Kendadih Power Substation, 11KV Over Head Line from Banalopa Mosaboni to River Ghat Pumping Station and O &amp; M of Rakha Sub-Station for the year 2020-21</t>
  </si>
  <si>
    <t>20AMMPK9945Q1Z9</t>
  </si>
  <si>
    <t>15780</t>
  </si>
  <si>
    <t>Cleaning of nearby Market Area of Mosabani Concentrator Plant(2KM Surroundings)</t>
  </si>
  <si>
    <t>15781</t>
  </si>
  <si>
    <t>LOADING,UNLOADING AND TRANSPORTATION OF ORE AND CONCENTRATE OF MOSABANI PLANT</t>
  </si>
  <si>
    <t>20AAACB7487P1ZB</t>
  </si>
  <si>
    <t>15785</t>
  </si>
  <si>
    <t>DA &amp; OXYGEN CYLINDERS</t>
  </si>
  <si>
    <t>20AAZCS9825R1Z7</t>
  </si>
  <si>
    <t>15790</t>
  </si>
  <si>
    <t>Procurement of 48MT Hi-Chrome GM Ball of 80mm dia</t>
  </si>
  <si>
    <t>08AAACB7092E1ZR</t>
  </si>
  <si>
    <t>15791</t>
  </si>
  <si>
    <t>Procurement of 72MT Hi-Chrome GM Ball of 80mm dia</t>
  </si>
  <si>
    <t>15795</t>
  </si>
  <si>
    <t>RENEWAL OF AMC MULTI WEIGH 60 TON RWB</t>
  </si>
  <si>
    <t>15798</t>
  </si>
  <si>
    <t>DEWATERING PUMP FOR SURDA MINES</t>
  </si>
  <si>
    <t>15802</t>
  </si>
  <si>
    <t>LOADING, TRANSPORTATION &amp; UNLOADING OF ORE FROM KENDADIH MINES TO MOSABONI CONCENTRATE PLANT</t>
  </si>
  <si>
    <t>19AARFA9548G1ZT</t>
  </si>
  <si>
    <t>15805</t>
  </si>
  <si>
    <t>Appointment of Government Registered Valuer for valuation/ market value of the assets namely Land(Freehold),Plant &amp; Machinery &amp; Buildings and other tangible fixed assets owned by HCL/ICC.</t>
  </si>
  <si>
    <t>19AAAFI8233R1ZR</t>
  </si>
  <si>
    <t>15811</t>
  </si>
  <si>
    <t>BEARING FOR WTP</t>
  </si>
  <si>
    <t>15816</t>
  </si>
  <si>
    <t>Job contract for engaging sampling crew to carry out sampling work at Kendadih Mine</t>
  </si>
  <si>
    <t>15818</t>
  </si>
  <si>
    <t>BEARING FOR CONCENTRATOR PLANT</t>
  </si>
  <si>
    <t>15824</t>
  </si>
  <si>
    <t>Cleaning of Garbage at Moubhandar Township</t>
  </si>
  <si>
    <t>19BVRPS5710A1ZE</t>
  </si>
  <si>
    <t>15829</t>
  </si>
  <si>
    <t>Lab Development equipments for ITI Dhalbhumgarh.</t>
  </si>
  <si>
    <t>19AQVPN9233F1Z6</t>
  </si>
  <si>
    <t>15831</t>
  </si>
  <si>
    <t>15837</t>
  </si>
  <si>
    <t>Engagement of NGO for implementation of CSR activities for FY 2020-21</t>
  </si>
  <si>
    <t>15843</t>
  </si>
  <si>
    <t>REBABBITING OF TRUNIUN BEARING OF BALL MILL 05</t>
  </si>
  <si>
    <t>15844</t>
  </si>
  <si>
    <t>Annual Maintenance and Operation of Chiller Plants for 2020-21</t>
  </si>
  <si>
    <t>20AASFA4786D1ZH</t>
  </si>
  <si>
    <t>15847</t>
  </si>
  <si>
    <t>SPARES FOR KIRLOSKAR COMPRESSOR</t>
  </si>
  <si>
    <t>15848</t>
  </si>
  <si>
    <t>05AXGPA4298K1ZB</t>
  </si>
  <si>
    <t>15849</t>
  </si>
  <si>
    <t>H. T. Bitumen Cable Compound</t>
  </si>
  <si>
    <t>20ECJPS6760N1Z0</t>
  </si>
  <si>
    <t>15853</t>
  </si>
  <si>
    <t>Transportation of household goods and car from ICC Ghatsila to Malanjkhand Copper Project (M.P.).</t>
  </si>
  <si>
    <t>15859</t>
  </si>
  <si>
    <t>WELDING EQUIPMENT</t>
  </si>
  <si>
    <t>15863</t>
  </si>
  <si>
    <t>Transportation of household goods from ICC Ghatsila to Loma, P.O.- Rajapakar, Dist.-Vaishali Bihar.</t>
  </si>
  <si>
    <t>15864</t>
  </si>
  <si>
    <t>End to End Client Server Protection</t>
  </si>
  <si>
    <t>15869</t>
  </si>
  <si>
    <t>Watch Keeping of Cycle/Scooter stand near Company's Main Gate at ICC Works, Moubhandar for one year 2021-22.</t>
  </si>
  <si>
    <t>19AOIPK8721Q1Z4</t>
  </si>
  <si>
    <t>15874</t>
  </si>
  <si>
    <t>CLASSIFIER SUB-MURGE BEARING ASSEMBLY AS PER DRAWING</t>
  </si>
  <si>
    <t>08AOUPS1944P1ZU</t>
  </si>
  <si>
    <t>15877</t>
  </si>
  <si>
    <t>"INDEF-N" MAKE TRIPLE SPUR GEAR CHAIN PULLEY      BLOCK CONF.TO IS;3832 1 TON CAP. 5 MTRS. LIFT.</t>
  </si>
  <si>
    <t>20AAIFE4767C1ZS</t>
  </si>
  <si>
    <t>15878</t>
  </si>
  <si>
    <t>Safety Audit for Mosaboni Concentrator Plant_ Hindustan Copper Limited</t>
  </si>
  <si>
    <t>15879</t>
  </si>
  <si>
    <t>Job contract for various activities in different departments for assistance in maintenance, essential services and other related jobs of Moubhandar Works for a period of six months.</t>
  </si>
  <si>
    <t>15880</t>
  </si>
  <si>
    <t>Job Contract for dewatering activities and other essential services for Surda Mine for 06 months</t>
  </si>
  <si>
    <t>15883</t>
  </si>
  <si>
    <t>JOB CONTRACT FOR SURDA OFFICE MANAGEMENT, HOUSEKEEPING SERVICES, AUTOCAD, DRAUGHTING JOB AT SURDA ADMIN BUILDING AND MINES MANAGER OFFICE FOR FOUR MONTHS</t>
  </si>
  <si>
    <t>15884</t>
  </si>
  <si>
    <t>Complete Overhauling and Maintenance of BALL MILL Motor : 300 HP,3.3KV,1490 RPM BHEL Make</t>
  </si>
  <si>
    <t>15885</t>
  </si>
  <si>
    <t>Repair &amp; Maintenance of Jalminars under CSR</t>
  </si>
  <si>
    <t>19AAFCC6818G1ZI</t>
  </si>
  <si>
    <t>15886</t>
  </si>
  <si>
    <t>Autocad Software Renewal for Plant Offices</t>
  </si>
  <si>
    <t>15887</t>
  </si>
  <si>
    <t>Spillage cleaning for Mosaboni Concentrator Plant</t>
  </si>
  <si>
    <t>15890</t>
  </si>
  <si>
    <t>SPARES FOR KSB PUMPS FOR SURDA MINES</t>
  </si>
  <si>
    <t>15891</t>
  </si>
  <si>
    <t>NDT Test of 3 shaft and 4 shaft winder and their respective load carrying components</t>
  </si>
  <si>
    <t>15894</t>
  </si>
  <si>
    <t>Vetting of Designs/Drawings pertaining to Surda Mine Expansion Project of M/s Hindustan Copper Limited</t>
  </si>
  <si>
    <t>15895</t>
  </si>
  <si>
    <t>MAINTENANCE &amp; OPERATION OF 33 KV OVERHEAD LINE,SUB STATION AND OTHER RELATED ELECTRICAL JOBS FOR YR: 2021-22</t>
  </si>
  <si>
    <t>15896</t>
  </si>
  <si>
    <t>15901</t>
  </si>
  <si>
    <t>Annual Rate Contract for Maintenance,Servicing &amp; Submission for Re-verification &amp; Stamping of  Weights,Weighing Scales and Machines at Moubhandar Works for the year-2021</t>
  </si>
  <si>
    <t>15908</t>
  </si>
  <si>
    <t>SPARES FOR  EXIDE LED CAP LAMP</t>
  </si>
  <si>
    <t>15911</t>
  </si>
  <si>
    <t>Renovation of No 03 shaft of Surda Mines</t>
  </si>
  <si>
    <t>15912</t>
  </si>
  <si>
    <t>Driver kits suitable for 120watt street light LED fitting. Detail as per annexure.</t>
  </si>
  <si>
    <t>19AAICK3351P1ZY</t>
  </si>
  <si>
    <t>15913</t>
  </si>
  <si>
    <t>Driver kits suitable for street light LED fitting - ICC Electrical Deptt</t>
  </si>
  <si>
    <t>15915</t>
  </si>
  <si>
    <t>GM BUSH FOR SURDA MINES</t>
  </si>
  <si>
    <t>19AAACE5844K1ZC</t>
  </si>
  <si>
    <t>15919</t>
  </si>
  <si>
    <t>BEARING FOR REPEDRUM SKF NO.1215K WITH ADOPER     SLEEVE AND NUT 'FAG' MAKE</t>
  </si>
  <si>
    <t>20AGGPR7804K1ZB</t>
  </si>
  <si>
    <t>15920</t>
  </si>
  <si>
    <t>Transportation of household goods from ICC Ghatsila to Udaynathpur, Ratalang, Jajpur, Odisha</t>
  </si>
  <si>
    <t>15921</t>
  </si>
  <si>
    <t>Transportation of household goods from ICC Ghatsila to At- 4 No. Desh Bandhu Nagar, 4th Floor, P.O. Sodepur,PS- Khardah, 24 Parganas (North) Kolkata-700110(W.B.).</t>
  </si>
  <si>
    <t>15922</t>
  </si>
  <si>
    <t>SHIFTING OF SLAG FROM RIVER SIDE.</t>
  </si>
  <si>
    <t>15923</t>
  </si>
  <si>
    <t>Chemical Cleaning of Thermax Package Boilers</t>
  </si>
  <si>
    <t>15930</t>
  </si>
  <si>
    <t>Reconditioned Compressor for Chiller Plant</t>
  </si>
  <si>
    <t>15931</t>
  </si>
  <si>
    <t>Inspection,Testing and Certification of Passenger Lift,Lifting Tools &amp; Tackles and EOT Cranes as well as Thickness Measurement of Un-Fired PVs/Air Receivers/ Storage Tanks as per Factories Act read with Jharkhand Factories Rules for 2020</t>
  </si>
  <si>
    <t>20AAACT0627R3ZB</t>
  </si>
  <si>
    <t>15933</t>
  </si>
  <si>
    <t>Insuarance Coverage for Company Vehicle</t>
  </si>
  <si>
    <t>20AAACE5767F1ZY</t>
  </si>
  <si>
    <t>15936</t>
  </si>
  <si>
    <t>Annual Maintenance Contract (AMC) for Eureka Forbes water purifiers</t>
  </si>
  <si>
    <t>20BKJPK1425R2Z1</t>
  </si>
  <si>
    <t>15937</t>
  </si>
  <si>
    <t>Inspection,Testing and Certification of EOT Cranes as well as Thickness Measurement of Un-Fired PVs/Air Receivers as per Factories Act read with Jharkhand Factories Rules for 2021 for Mosaboni Concentrator Plant.</t>
  </si>
  <si>
    <t>15938</t>
  </si>
  <si>
    <t>08AACCS2042K1ZF</t>
  </si>
  <si>
    <t>15940</t>
  </si>
  <si>
    <t>Digital Electromagnetic Water Flow Meter with Telemetry System for Surda Mines</t>
  </si>
  <si>
    <t>15944</t>
  </si>
  <si>
    <t>Depth Exploration Work (Phase-I) in Rakha Block of Rakha Mining Lease,Indian Copper Complex, Singhbhum (East), Jharkhand(Work Order Ref: HCL/HO/WO/Depth Exploration_Rakha Block_Phase-I/21 Dtd 12.01.2021)</t>
  </si>
  <si>
    <t>15945</t>
  </si>
  <si>
    <t>Depth Exploration Work (Phase-I) in Rakha Block of Rakha Mining Lease, Indian Copper Complex, Singhbhum (East), Jharkhand(Work Order Ref: HCL/HO/WO/Depth Exploration_Rakha Block_Phase-I/21 Dtd 12.01.2021)</t>
  </si>
  <si>
    <t>15949</t>
  </si>
  <si>
    <t>Renewal of Comprehensive Annual Maintenance Contract (CAMC) of Display Board at Kendadih Mine</t>
  </si>
  <si>
    <t>19AACCW2535R1ZO</t>
  </si>
  <si>
    <t>15950</t>
  </si>
  <si>
    <t>AMC of Desktops, Printers and its allied Accessories</t>
  </si>
  <si>
    <t>15951</t>
  </si>
  <si>
    <t>Running Contract for the horticulture operations for upkeep of the DB, Annexed DB, STB-02, Hospital, Inside Works, General Office etc. for the year 2020-2021.</t>
  </si>
  <si>
    <t>15952</t>
  </si>
  <si>
    <t>15953</t>
  </si>
  <si>
    <t>Magnetic Defectograph Test for Surda Mines</t>
  </si>
  <si>
    <t>15954</t>
  </si>
  <si>
    <t>Vehicles for Surda Mine for one Year</t>
  </si>
  <si>
    <t>06AADCA0301J1ZC</t>
  </si>
  <si>
    <t>15956</t>
  </si>
  <si>
    <t>PROCUREMENT OF MEDICAL AND ACCESSORIES</t>
  </si>
  <si>
    <t>15957</t>
  </si>
  <si>
    <t>33AAGPE0990H1ZZ</t>
  </si>
  <si>
    <t>15967</t>
  </si>
  <si>
    <t>LT OCB Spare Parts for Surda Mines</t>
  </si>
  <si>
    <t>15970</t>
  </si>
  <si>
    <t>M S ELECTRODE FEROSPEED 3.15MM-10SWG</t>
  </si>
  <si>
    <t>15973</t>
  </si>
  <si>
    <t>Repair &amp; Replacement job of Crusher Head Gearbin &amp; Floatation Cell Lounder</t>
  </si>
  <si>
    <t>27AAHFJ7149Q1ZJ</t>
  </si>
  <si>
    <t>15974</t>
  </si>
  <si>
    <t>PVC/NITRILE HAND GLOVES WITH COTTON LINING, SIZE: 12" FOR MINING USE OF REPUTED MAKE LIKE MIDAS, MALLCOM AS PER EN 388 &amp; ISO 13997</t>
  </si>
  <si>
    <t>20AABFE6480F1ZV</t>
  </si>
  <si>
    <t>15975</t>
  </si>
  <si>
    <t>PROCUREMENT OF MEDICINES MOUBHANDAR WORKS HOSPITAL</t>
  </si>
  <si>
    <t>20AACFV0404F1Z1</t>
  </si>
  <si>
    <t>15976</t>
  </si>
  <si>
    <t>PROCUREMENT OF MEDICINES FOR WORKS HOSPITAL</t>
  </si>
  <si>
    <t>15977</t>
  </si>
  <si>
    <t>ANNUAL MAINTENANCE OF 33 KV OVERHEAD LINE FROM JADUGODA GRID TO KENDADIH MINE etc.(2021-22)</t>
  </si>
  <si>
    <t>15978</t>
  </si>
  <si>
    <t>AMC for Semi Auto Analyzer(Mindray,Model No.:BA 88A) at Moubhandar Works Hospital</t>
  </si>
  <si>
    <t>20AAKFK0913A1Z8</t>
  </si>
  <si>
    <t>15981</t>
  </si>
  <si>
    <t>OXYGEN accessories for CORONA WARD MBR. HOSPITAL</t>
  </si>
  <si>
    <t>Mr. Rajeev Khare</t>
  </si>
  <si>
    <t>19AADCR4248K1Z0</t>
  </si>
  <si>
    <t>15982</t>
  </si>
  <si>
    <t>AMC for X-Ray CR System of Moubhandar Works Hospital</t>
  </si>
  <si>
    <t>15986</t>
  </si>
  <si>
    <t>AMC OF AVERY MAKE WEIGHING MACHINES AT ICC WORKS 2021</t>
  </si>
  <si>
    <t>19AFVPB7954E12Z</t>
  </si>
  <si>
    <t>15988</t>
  </si>
  <si>
    <t>G.M.Fulway Gate Valve for Surda Mines</t>
  </si>
  <si>
    <t>15990</t>
  </si>
  <si>
    <t>PRESSURE SWITCH TYPE IPS, PSM-520-70, as per details attached, for SURDA MINE</t>
  </si>
  <si>
    <t>19AABCG1661M1ZE</t>
  </si>
  <si>
    <t>15992</t>
  </si>
  <si>
    <t>Mr. Ravi Shankar Choudhary</t>
  </si>
  <si>
    <t>HCL ICC HR &amp; Administration</t>
  </si>
  <si>
    <t>15996</t>
  </si>
  <si>
    <t>Printing of drawings &amp; scanning of Mining Plan for Rakha Mining Lease from outsource</t>
  </si>
  <si>
    <t>27AAAPM7450Q1Z6</t>
  </si>
  <si>
    <t>16001</t>
  </si>
  <si>
    <t>NON-ASBESTOS GREASE PACKING (NON-METALLIC) , CHAMPION / SPITMAAN MAKE STYLE NO. 2222 SIZE 1/2" SQR, FOR WTP</t>
  </si>
  <si>
    <t>10AAPCS4192K1Z2</t>
  </si>
  <si>
    <t>16002</t>
  </si>
  <si>
    <t>Mechanical seal for Kirloskar make pump model-KSMB 1051, Surda Mines</t>
  </si>
  <si>
    <t>22AAACG9441Q1ZA</t>
  </si>
  <si>
    <t>16003</t>
  </si>
  <si>
    <t>RAIL 30 LBS FOR KENDADIH MINES DEVELOPMENT</t>
  </si>
  <si>
    <t>16004</t>
  </si>
  <si>
    <t>Job Contract for Essential Services at Mosabani Concentrator Plant for three months</t>
  </si>
  <si>
    <t>16007</t>
  </si>
  <si>
    <t>Bleach Solution (Sodium Hypo Chlorite 7-8%)</t>
  </si>
  <si>
    <t>19AAACH6320F1ZV</t>
  </si>
  <si>
    <t>16008</t>
  </si>
  <si>
    <t>G.I. PIPES FOR KENDADIH MINES</t>
  </si>
  <si>
    <t>16012</t>
  </si>
  <si>
    <t>SPARES FOR MSB CRUSHER</t>
  </si>
  <si>
    <t>27AACCS5981M1ZP</t>
  </si>
  <si>
    <t>16013</t>
  </si>
  <si>
    <t>PP WOVEN BAGS - REVERT PACKING &amp; SALE</t>
  </si>
  <si>
    <t>20AAACI17409R1ZK</t>
  </si>
  <si>
    <t>16015</t>
  </si>
  <si>
    <t>STATIONERY ITEMS FOR WORKS HOSPITAL</t>
  </si>
  <si>
    <t>20AABFL9653R1ZU</t>
  </si>
  <si>
    <t>16016</t>
  </si>
  <si>
    <t>20AEHPC1934L1ZW</t>
  </si>
  <si>
    <t>16017</t>
  </si>
  <si>
    <t>21AIVPB7760R1ZK</t>
  </si>
  <si>
    <t>16019</t>
  </si>
  <si>
    <t>EAR PLUG FOAM TYPE WITH CORD,SAFETY HELMET &amp; FULL SIZE PVC GUM BOOT</t>
  </si>
  <si>
    <t>19AADFI3979D1Z6</t>
  </si>
  <si>
    <t>16020</t>
  </si>
  <si>
    <t>Inspection,Testing and Certification of Safety Valves of LPG Tanks (T-69 &amp;T-70) and Oxygen VIST for the year 2020-21 under Rule 18 of SMPV(U),1981</t>
  </si>
  <si>
    <t>16021</t>
  </si>
  <si>
    <t>Transportation of household goods and car from Tumandungri, Moubhandar(Ghatsila) to Visakhapatnam, Andhra Pradesh</t>
  </si>
  <si>
    <t>16022</t>
  </si>
  <si>
    <t>CAST IRON PIPES &amp; FITTINGS</t>
  </si>
  <si>
    <t>19AFPPP9460B1Z0</t>
  </si>
  <si>
    <t>16023</t>
  </si>
  <si>
    <t>19AACFN4996L1ZI</t>
  </si>
  <si>
    <t>16026</t>
  </si>
  <si>
    <t>Chase Block for 30 mm Dia Wire rope (8T SWL) as per drg.no.-A-918 Sheet 1 with one no.Pin &amp; matching  nut( Type 1)</t>
  </si>
  <si>
    <t>27AAACD3658C1ZX</t>
  </si>
  <si>
    <t>16027</t>
  </si>
  <si>
    <t>MEDICAL OXYGEN JUMBO CYLINDERS WITH ITS ACCESSORIES FOR MBR HOSPITAL</t>
  </si>
  <si>
    <t>24AAHCA0125E1ZF</t>
  </si>
  <si>
    <t>16028</t>
  </si>
  <si>
    <t>SUPPLY OF AUTOMATIC POWER FACTOR CORRECTION (APFC) PANEL FOR 100KVAR WITH 10  STEPS SWITCHING WITH NECESSARY PROTECTIVE DEVICES AND ACCESSORIES AS PER DETAILS &amp; INSTALLATION.</t>
  </si>
  <si>
    <t>33AAAPD6712G1ZC</t>
  </si>
  <si>
    <t>16029</t>
  </si>
  <si>
    <t>SUPER ENAMELLED COPPER WIRE NO. 19 SWG</t>
  </si>
  <si>
    <t>16031</t>
  </si>
  <si>
    <t>Preparation of 3-D subsidence prediction model for Kendadih,Surda &amp; Rakha Mining Lease</t>
  </si>
  <si>
    <t>19AALFD3017D1ZQ</t>
  </si>
  <si>
    <t>16033</t>
  </si>
  <si>
    <t>SIMPLEX ROLLER CHAIN 3/8 IN.PITCH 120 LINK  ( ROLLER DIA 6.3mm INNER WIDTH 6 mm PLATE THICKNESS - 1.3 mm) MAKE- ROL KOBO</t>
  </si>
  <si>
    <t>20AOOPG4491F1Z3</t>
  </si>
  <si>
    <t>16037</t>
  </si>
  <si>
    <t>Supply,Installation and Commissioning of a Centralized Medical Oxygen Supply System in Moubhandar Works Hospital at HCL/ICC Ghatsila for 60 Beds</t>
  </si>
  <si>
    <t>16040</t>
  </si>
  <si>
    <t>Job Contract for Surda Office Management,Housekeeping Services,Autocad,Draughting Job at Surda Admin Building and Mines Manager Office for four months.</t>
  </si>
  <si>
    <t>20ADKFS3518A1ZN</t>
  </si>
  <si>
    <t>16041</t>
  </si>
  <si>
    <t>Providing and Fixing of M. S. Gate at 4# shaft magazine, Surda Mine</t>
  </si>
  <si>
    <t>20ABWPJ0066E1ZY</t>
  </si>
  <si>
    <t>16042</t>
  </si>
  <si>
    <t>Cage for Vertical Shaft, Shaft 3 Surda Mines</t>
  </si>
  <si>
    <t>16043</t>
  </si>
  <si>
    <t>Contract for Vetting of Designs/Drawings pertaining to Surda Mine Expansion Project of  M/s Hindustan Copper Limited.</t>
  </si>
  <si>
    <t>16044</t>
  </si>
  <si>
    <t>DEPUTATION OF SERVICE ENGINEER FOR FAULT FINDING AND RECTIFICATION OF 2 MVA DG SET</t>
  </si>
  <si>
    <t>16046</t>
  </si>
  <si>
    <t>DENTAL X-RAY FILMS FOR WORKS HOSPITAL</t>
  </si>
  <si>
    <t>20AALCA7318K1ZP</t>
  </si>
  <si>
    <t>16047</t>
  </si>
  <si>
    <t>Collection,Transportation,Treatment &amp; Disposal of Bio-medical Wastes of Moubhandar Works Hospital</t>
  </si>
  <si>
    <t>16049</t>
  </si>
  <si>
    <t>16050</t>
  </si>
  <si>
    <t>LT CABLES FOR MBR.TOWNSHIP DISTRIBUTION</t>
  </si>
  <si>
    <t>16051</t>
  </si>
  <si>
    <t>Laying Vinyle flooring in STB-02</t>
  </si>
  <si>
    <t>16056</t>
  </si>
  <si>
    <t>M S ELECTRODE FEROSPEED 3.15 MM-10SWG</t>
  </si>
  <si>
    <t>19ACEPM9722D1Z9</t>
  </si>
  <si>
    <t>16059</t>
  </si>
  <si>
    <t>AMC for Automatic Contrivance of Surda Mines</t>
  </si>
  <si>
    <t>19ALVPM2644Q1Z1</t>
  </si>
  <si>
    <t>16060</t>
  </si>
  <si>
    <t>RUBBER BUCKET / DIAPHRAGM OF PNEUMATIC CYLINDER OF 4# SHAFT WINDER</t>
  </si>
  <si>
    <t>16061</t>
  </si>
  <si>
    <t>SPARES FOR 100 HP DEWATERING PUMP FOR SURDA MINES</t>
  </si>
  <si>
    <t>16062</t>
  </si>
  <si>
    <t>SPARES FOR RADICON MAKE GEAR BOX MSB PLANT</t>
  </si>
  <si>
    <t>16064</t>
  </si>
  <si>
    <t>BATTERY 12V X 25 PLATES FULLY CHARGED AS PER SPECIFICATION ATTACHED</t>
  </si>
  <si>
    <t>20CCVPB1292G1ZT</t>
  </si>
  <si>
    <t>16065</t>
  </si>
  <si>
    <t>MBR WORKS HOSPITAL LABORATORY ITEMS.</t>
  </si>
  <si>
    <t>16066</t>
  </si>
  <si>
    <t>Job Contract for Crushing of Copper Reverts size less than 10 MM</t>
  </si>
  <si>
    <t>19AACFH7515D1ZK</t>
  </si>
  <si>
    <t>16068</t>
  </si>
  <si>
    <t>Sulphuric Acid Concentration (98%) for ICC Refinery</t>
  </si>
  <si>
    <t>16069</t>
  </si>
  <si>
    <t>Repair of damaged boundary wall near CETP at ICC inside MBR Works</t>
  </si>
  <si>
    <t>16070</t>
  </si>
  <si>
    <t>Delivery Sleeve for 220 HP Pump Mather &amp; Platt  Model No.- 100/150/IPBTS80X6CHRS, Head- 250, Flow 144M3/Hr, RPM- 2950</t>
  </si>
  <si>
    <t>27ECPPK3851Q1ZO</t>
  </si>
  <si>
    <t>16072</t>
  </si>
  <si>
    <t>M S BOLT &amp; NUT HEX HEAD 5/8 INCH X 3 INCH (75MM)  FULL THREADED in Assembled condition</t>
  </si>
  <si>
    <t>16074</t>
  </si>
  <si>
    <t>SINGLE ROW BALL BEARING MAKE - FAG - MSB PLANT</t>
  </si>
  <si>
    <t>16075</t>
  </si>
  <si>
    <t>PVC Sheet fixing on SS Mother Blanks</t>
  </si>
  <si>
    <t>20ACEPG4215B1ZO</t>
  </si>
  <si>
    <t>16076</t>
  </si>
  <si>
    <t>NITRIC ACID COMMERCIAL GRADE(54% TO 62% CONC) MSB PLANT</t>
  </si>
  <si>
    <t>19AAAJI0323G1ZM</t>
  </si>
  <si>
    <t>16081</t>
  </si>
  <si>
    <t>Assessment of Stability of Room &amp; Pillar stoping method at a depth of 350m of Kendadih Copper Mine, HCL/ICC,Ghatsila,Jharkhand</t>
  </si>
  <si>
    <t>16082</t>
  </si>
  <si>
    <t>Repair &amp; Replacement Job of Concentrator Plant Equipments</t>
  </si>
  <si>
    <t>19ADVPD8556G1ZX</t>
  </si>
  <si>
    <t>16084</t>
  </si>
  <si>
    <t>M S PLATE, CHANNEL, ANGLE</t>
  </si>
  <si>
    <t>16085</t>
  </si>
  <si>
    <t>Annual Servicing, Maintenance and Stamping of 30T Weighbridge at Mosaboni Concentrator Plant</t>
  </si>
  <si>
    <t>16086</t>
  </si>
  <si>
    <t>Resilient coupling Model No.-FRC 13 for North Ventilation Fan of Surda Mines</t>
  </si>
  <si>
    <t>16090</t>
  </si>
  <si>
    <t>Repair &amp; Maintenance of Internal &amp; External Service Line and Water Supply at MBR Township</t>
  </si>
  <si>
    <t>16091</t>
  </si>
  <si>
    <t>COMPRESSED OXYGEN GAS IN STANDARD OXYGEN  CYLINDER FILLED IN  6 TO 7  CU.M. GAS, CONFIRM TO IS:309-92 PRESSURE 140 KG/SQ. CM MINIMUM.</t>
  </si>
  <si>
    <t>19AADCS6834L1ZT</t>
  </si>
  <si>
    <t>16092</t>
  </si>
  <si>
    <t>DISSOLVED ACETYLINE GAS CONFORM TO  IS:308:1988 FILLED  IN 5 TO 6 CU.M.   CYLINDER.</t>
  </si>
  <si>
    <t>16095</t>
  </si>
  <si>
    <t>CLASSIFIER SPARES</t>
  </si>
  <si>
    <t>16097</t>
  </si>
  <si>
    <t>BATTERY 12V X 25 PLATES (180 Ah),  AUTOMATIVE BATTERY TYPE 12V X 17 PLATE (130 Ah)</t>
  </si>
  <si>
    <t>21ABKPC9470F1ZV</t>
  </si>
  <si>
    <t>16098</t>
  </si>
  <si>
    <t>Loctite For Gear Box Leakage, Temperature above 100 Degree Celcius.</t>
  </si>
  <si>
    <t>20ABNPG0089M1ZM</t>
  </si>
  <si>
    <t>16099</t>
  </si>
  <si>
    <t>CHEMICALS FOR R&amp;D DEPTT.</t>
  </si>
  <si>
    <t>16100</t>
  </si>
  <si>
    <t>PETRIDISH GLASS WITH COVER  FOR R&amp;D DEPTT.</t>
  </si>
  <si>
    <t>19ABGPH2924M1ZF</t>
  </si>
  <si>
    <t>16101</t>
  </si>
  <si>
    <t>CHEMICALS R&amp;D DEPTT.</t>
  </si>
  <si>
    <t>19AILPR1030N1ZW</t>
  </si>
  <si>
    <t>16102</t>
  </si>
  <si>
    <t>TROUGHING IDLERS WITH FRAME COMPLETE SET FOR 450MM WIDE CONVEYOR BELT</t>
  </si>
  <si>
    <t>16103</t>
  </si>
  <si>
    <t>AMC of Telephone Exchange</t>
  </si>
  <si>
    <t>16104</t>
  </si>
  <si>
    <t>LECO SPARE PART 666310 E130 ASSY CARD PGMLFUSB SERVER SGLB</t>
  </si>
  <si>
    <t>16105</t>
  </si>
  <si>
    <t>MAFRON-22 GAS (61 KG.CAPACITY)</t>
  </si>
  <si>
    <t>16108</t>
  </si>
  <si>
    <t>SINGLE ROW BALL BEARING</t>
  </si>
  <si>
    <t>09AABCM6851B1ZM</t>
  </si>
  <si>
    <t>3423</t>
  </si>
  <si>
    <t>TESTING ,OVERHAULING/REPAIRES,ERECTION &amp; COMMISSIONING OF 5 MVA ,11 KV /50-150V GEC MAKE FURNACE TRANSFORMER</t>
  </si>
  <si>
    <t>20AAACH1118B1ZQ</t>
  </si>
  <si>
    <t>4568</t>
  </si>
  <si>
    <t>FO Tank Repair, Conversion to BTPN</t>
  </si>
  <si>
    <t>Mr. Sandip Kumar Rout</t>
  </si>
  <si>
    <t>HCL ICC Concentrator</t>
  </si>
  <si>
    <t>5177</t>
  </si>
  <si>
    <t>5196</t>
  </si>
  <si>
    <t>19AACFJ8636M1ZR</t>
  </si>
  <si>
    <t>5310</t>
  </si>
  <si>
    <t>OVERHAULING OF KHANDELWAL &amp; WMI CRANE( REFINERY)</t>
  </si>
  <si>
    <t>5395</t>
  </si>
  <si>
    <t>OVERHAULING OF 35/35 T JESSOP CRANE &amp; 35/35 T WMI CRANE</t>
  </si>
  <si>
    <t>5646</t>
  </si>
  <si>
    <t>DISMANTLING &amp; ERECTION OF MAGNESITE BRICKS IN NO1&amp;NO2 MONOMETER FURNACES AT CAST HOUSE</t>
  </si>
  <si>
    <t>Mr. Siba Prasad Dutta</t>
  </si>
  <si>
    <t>HCL ICC Flash Smelter</t>
  </si>
  <si>
    <t>5649</t>
  </si>
  <si>
    <t>DISMANTLING OF VARIOUS JAMS CONSISTING OF MAGNETITE COPPER,SLAG COPPER FROM FLASH SMELTING FURNACE &amp; SLAG CLEANING FURNACE AT HCL/ICC,GHATSILA</t>
  </si>
  <si>
    <t>5802</t>
  </si>
  <si>
    <t>OVERHAULING OF COMPRESSOR</t>
  </si>
  <si>
    <t>5817</t>
  </si>
  <si>
    <t>Repair of OFC Cable connecting CPM &amp; FS Mech</t>
  </si>
  <si>
    <t>Mr. Batchali Venkata Ranga Rao</t>
  </si>
  <si>
    <t>HCL ICC Systems Department</t>
  </si>
  <si>
    <t>20AABCB2164N1ZY</t>
  </si>
  <si>
    <t>6015</t>
  </si>
  <si>
    <t>Dismantling , Erection &amp; commissioning of Oxygen Supply line of Smelter Plant</t>
  </si>
  <si>
    <t>Mr. Abhimanue Singh</t>
  </si>
  <si>
    <t>6160</t>
  </si>
  <si>
    <t>Subsidence study of Surda, Kendadih &amp; Rakha mining areas</t>
  </si>
  <si>
    <t>7229</t>
  </si>
  <si>
    <t>Depth Exploration Work at Surda Copper Mine, Ghatsila, Jharkhand</t>
  </si>
  <si>
    <t>7333</t>
  </si>
  <si>
    <t>Vetting of design &amp; drawings of Surda expansion project</t>
  </si>
  <si>
    <t>7369</t>
  </si>
  <si>
    <t>Conducting environmental studies in Rakha Mining Lease for stage II clearance</t>
  </si>
  <si>
    <t>7536</t>
  </si>
  <si>
    <t>Replacement of CRGO core lamination for Testing, Erection &amp; Commissioning of GEC MAKE 5 MVA, 11KV/50-150 V Furnace Transformer</t>
  </si>
  <si>
    <t>7594</t>
  </si>
  <si>
    <t>Collection and analysis of water &amp; ore sample of Kendadih mine</t>
  </si>
  <si>
    <t>20AAACT1261F1Z2</t>
  </si>
  <si>
    <t>8436</t>
  </si>
  <si>
    <t>COLD VULCANISING OF CONVEYOR BELTS AT BOILER &amp; SMELTER PLANT</t>
  </si>
  <si>
    <t>20ABFPG2776B2ZA</t>
  </si>
  <si>
    <t>8872</t>
  </si>
  <si>
    <t>REPAIR/REPLACEMENT OF A.C. SHEET IN TANK HOUSE ROOF AT ICC</t>
  </si>
  <si>
    <t>Mr. Abhijit Sinha</t>
  </si>
  <si>
    <t>9374</t>
  </si>
  <si>
    <t>9692</t>
  </si>
  <si>
    <t>9695</t>
  </si>
  <si>
    <t>PREPARATION &amp; SUBMISSION OF SCHEME OF MINING FOR RAKHA MINING LEASE</t>
  </si>
  <si>
    <t>99</t>
  </si>
  <si>
    <t>Planned Purchase Order for ICC Lubricants</t>
  </si>
  <si>
    <t>REPAIR OF ACID PROOF TILES LINING AND  DRAIN CLEANING  JOB INSIDE  WORKS 2015-2016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</si>
</sst>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2" xfId="0" applyNumberFormat="1" applyFont="1" applyFill="1" applyBorder="1"/>
    <xf numFmtId="0" fontId="0" fillId="0" borderId="3" xfId="0" applyFont="1" applyFill="1" applyBorder="1"/>
    <xf numFmtId="49" fontId="0" fillId="0" borderId="3" xfId="0" applyNumberFormat="1" applyFont="1" applyFill="1" applyBorder="1"/>
    <xf numFmtId="164" fontId="0" fillId="0" borderId="4" xfId="0" applyNumberFormat="1" applyFont="1" applyFill="1" applyBorder="1"/>
    <xf numFmtId="0" fontId="0" fillId="0" borderId="3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Fill="1"/>
    <xf numFmtId="49" fontId="0" fillId="0" borderId="5" xfId="0" applyNumberFormat="1" applyFont="1" applyFill="1" applyBorder="1"/>
    <xf numFmtId="49" fontId="0" fillId="0" borderId="3" xfId="0" applyNumberFormat="1" applyFill="1" applyBorder="1"/>
    <xf numFmtId="49" fontId="1" fillId="0" borderId="2" xfId="0" applyNumberFormat="1" applyFont="1" applyFill="1" applyBorder="1"/>
    <xf numFmtId="0" fontId="1" fillId="0" borderId="3" xfId="0" applyFont="1" applyFill="1" applyBorder="1"/>
    <xf numFmtId="49" fontId="1" fillId="0" borderId="3" xfId="0" applyNumberFormat="1" applyFont="1" applyFill="1" applyBorder="1"/>
    <xf numFmtId="0" fontId="1" fillId="0" borderId="3" xfId="0" applyNumberFormat="1" applyFont="1" applyFill="1" applyBorder="1"/>
    <xf numFmtId="0" fontId="1" fillId="0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94"/>
  <sheetViews>
    <sheetView tabSelected="1" workbookViewId="0">
      <pane ySplit="1" topLeftCell="A571" activePane="bottomLeft" state="frozen"/>
      <selection pane="bottomLeft" activeCell="E592" sqref="E592"/>
    </sheetView>
  </sheetViews>
  <sheetFormatPr defaultRowHeight="15"/>
  <cols>
    <col min="1" max="1" width="22.140625" bestFit="1" customWidth="1"/>
    <col min="2" max="2" width="12.5703125" bestFit="1" customWidth="1"/>
    <col min="3" max="3" width="19" bestFit="1" customWidth="1"/>
    <col min="4" max="4" width="11.42578125" bestFit="1" customWidth="1"/>
    <col min="5" max="5" width="79.5703125" customWidth="1"/>
    <col min="6" max="6" width="17.85546875" bestFit="1" customWidth="1"/>
    <col min="7" max="7" width="16.85546875" bestFit="1" customWidth="1"/>
    <col min="8" max="8" width="29.140625" bestFit="1" customWidth="1"/>
    <col min="9" max="9" width="29.85546875" bestFit="1" customWidth="1"/>
    <col min="10" max="10" width="20" bestFit="1" customWidth="1"/>
    <col min="11" max="11" width="13.140625" bestFit="1" customWidth="1"/>
    <col min="12" max="13" width="12" bestFit="1" customWidth="1"/>
    <col min="14" max="14" width="45.28515625" bestFit="1" customWidth="1"/>
    <col min="15" max="19" width="13.140625" bestFit="1" customWidth="1"/>
    <col min="20" max="20" width="11" bestFit="1" customWidth="1"/>
    <col min="21" max="21" width="12.5703125" bestFit="1" customWidth="1"/>
    <col min="22" max="22" width="11.5703125" bestFit="1" customWidth="1"/>
    <col min="23" max="27" width="19.285156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3" t="s">
        <v>27</v>
      </c>
      <c r="B2" s="4">
        <v>25262</v>
      </c>
      <c r="C2" s="5" t="s">
        <v>28</v>
      </c>
      <c r="D2" s="5" t="s">
        <v>29</v>
      </c>
      <c r="E2" s="5" t="s">
        <v>30</v>
      </c>
      <c r="F2" s="6">
        <v>42665</v>
      </c>
      <c r="G2" s="5"/>
      <c r="H2" s="5" t="s">
        <v>31</v>
      </c>
      <c r="I2" s="5" t="s">
        <v>32</v>
      </c>
      <c r="J2" s="5" t="s">
        <v>33</v>
      </c>
      <c r="K2" s="7">
        <v>3035091.49</v>
      </c>
      <c r="L2" s="8">
        <v>546316.52</v>
      </c>
      <c r="M2" s="9">
        <f t="shared" ref="M2:M65" si="0">+K2+L2</f>
        <v>3581408.0100000002</v>
      </c>
      <c r="N2" s="5" t="s">
        <v>34</v>
      </c>
    </row>
    <row r="3" spans="1:27">
      <c r="A3" s="3" t="s">
        <v>27</v>
      </c>
      <c r="B3" s="4">
        <v>25262</v>
      </c>
      <c r="C3" s="5" t="s">
        <v>28</v>
      </c>
      <c r="D3" s="5" t="s">
        <v>35</v>
      </c>
      <c r="E3" s="5" t="s">
        <v>36</v>
      </c>
      <c r="F3" s="6">
        <v>42684</v>
      </c>
      <c r="G3" s="5"/>
      <c r="H3" s="5" t="s">
        <v>31</v>
      </c>
      <c r="I3" s="5" t="s">
        <v>32</v>
      </c>
      <c r="J3" s="5" t="s">
        <v>33</v>
      </c>
      <c r="K3" s="7">
        <v>7.5999999999999998E-2</v>
      </c>
      <c r="L3" s="10"/>
      <c r="M3" s="9">
        <f t="shared" si="0"/>
        <v>7.5999999999999998E-2</v>
      </c>
      <c r="N3" s="5" t="s">
        <v>37</v>
      </c>
    </row>
    <row r="4" spans="1:27">
      <c r="A4" s="3" t="s">
        <v>27</v>
      </c>
      <c r="B4" s="4">
        <v>13959</v>
      </c>
      <c r="C4" s="5" t="s">
        <v>38</v>
      </c>
      <c r="D4" s="5" t="s">
        <v>39</v>
      </c>
      <c r="E4" s="5" t="s">
        <v>40</v>
      </c>
      <c r="F4" s="6">
        <v>42752</v>
      </c>
      <c r="G4" s="5"/>
      <c r="H4" s="5" t="s">
        <v>31</v>
      </c>
      <c r="I4" s="5" t="s">
        <v>32</v>
      </c>
      <c r="J4" s="5" t="s">
        <v>33</v>
      </c>
      <c r="K4" s="7">
        <v>2400000</v>
      </c>
      <c r="L4" s="10"/>
      <c r="M4" s="9">
        <f t="shared" si="0"/>
        <v>2400000</v>
      </c>
      <c r="N4" s="5" t="s">
        <v>37</v>
      </c>
    </row>
    <row r="5" spans="1:27">
      <c r="A5" s="3" t="s">
        <v>27</v>
      </c>
      <c r="B5" s="4">
        <v>1006</v>
      </c>
      <c r="C5" s="5" t="s">
        <v>41</v>
      </c>
      <c r="D5" s="5" t="s">
        <v>42</v>
      </c>
      <c r="E5" s="5" t="s">
        <v>43</v>
      </c>
      <c r="F5" s="6">
        <v>39770</v>
      </c>
      <c r="G5" s="5"/>
      <c r="H5" s="5" t="s">
        <v>44</v>
      </c>
      <c r="I5" s="11" t="s">
        <v>45</v>
      </c>
      <c r="J5" s="5" t="s">
        <v>46</v>
      </c>
      <c r="K5" s="7">
        <v>1389742.2</v>
      </c>
      <c r="L5" s="10"/>
      <c r="M5" s="9">
        <f t="shared" si="0"/>
        <v>1389742.2</v>
      </c>
      <c r="N5" s="5" t="s">
        <v>47</v>
      </c>
    </row>
    <row r="6" spans="1:27">
      <c r="A6" s="3" t="s">
        <v>27</v>
      </c>
      <c r="B6" s="4">
        <v>3906</v>
      </c>
      <c r="C6" s="5" t="s">
        <v>48</v>
      </c>
      <c r="D6" s="5" t="s">
        <v>49</v>
      </c>
      <c r="E6" s="5" t="s">
        <v>50</v>
      </c>
      <c r="F6" s="6">
        <v>42916</v>
      </c>
      <c r="G6" s="5"/>
      <c r="H6" s="5" t="s">
        <v>51</v>
      </c>
      <c r="I6" s="5" t="s">
        <v>52</v>
      </c>
      <c r="J6" s="5" t="s">
        <v>33</v>
      </c>
      <c r="K6" s="7">
        <v>888000.1</v>
      </c>
      <c r="L6" s="10"/>
      <c r="M6" s="9">
        <f t="shared" si="0"/>
        <v>888000.1</v>
      </c>
      <c r="N6" s="5" t="s">
        <v>53</v>
      </c>
    </row>
    <row r="7" spans="1:27">
      <c r="A7" s="3" t="s">
        <v>27</v>
      </c>
      <c r="B7" s="4">
        <v>21614</v>
      </c>
      <c r="C7" s="5" t="s">
        <v>54</v>
      </c>
      <c r="D7" s="5" t="s">
        <v>55</v>
      </c>
      <c r="E7" s="5" t="s">
        <v>56</v>
      </c>
      <c r="F7" s="6">
        <v>42950</v>
      </c>
      <c r="G7" s="5"/>
      <c r="H7" s="5" t="s">
        <v>51</v>
      </c>
      <c r="I7" s="5" t="s">
        <v>52</v>
      </c>
      <c r="J7" s="5" t="s">
        <v>33</v>
      </c>
      <c r="K7" s="7">
        <v>956651134.20899999</v>
      </c>
      <c r="L7" s="8">
        <v>136704421.19999999</v>
      </c>
      <c r="M7" s="9">
        <f t="shared" si="0"/>
        <v>1093355555.4089999</v>
      </c>
      <c r="N7" s="5" t="s">
        <v>57</v>
      </c>
    </row>
    <row r="8" spans="1:27">
      <c r="A8" s="3" t="s">
        <v>27</v>
      </c>
      <c r="B8" s="4">
        <v>23110</v>
      </c>
      <c r="C8" s="5" t="s">
        <v>58</v>
      </c>
      <c r="D8" s="5" t="s">
        <v>59</v>
      </c>
      <c r="E8" s="5" t="s">
        <v>60</v>
      </c>
      <c r="F8" s="6">
        <v>42972</v>
      </c>
      <c r="G8" s="5"/>
      <c r="H8" s="5" t="s">
        <v>31</v>
      </c>
      <c r="I8" s="5" t="s">
        <v>32</v>
      </c>
      <c r="J8" s="5" t="s">
        <v>33</v>
      </c>
      <c r="K8" s="7">
        <v>28469774.920000002</v>
      </c>
      <c r="L8" s="8">
        <v>5124559.4800000004</v>
      </c>
      <c r="M8" s="9">
        <f t="shared" si="0"/>
        <v>33594334.400000006</v>
      </c>
      <c r="N8" s="5" t="s">
        <v>53</v>
      </c>
    </row>
    <row r="9" spans="1:27">
      <c r="A9" s="3" t="s">
        <v>27</v>
      </c>
      <c r="B9" s="4">
        <v>25786</v>
      </c>
      <c r="C9" s="5" t="s">
        <v>61</v>
      </c>
      <c r="D9" s="5" t="s">
        <v>62</v>
      </c>
      <c r="E9" s="5" t="s">
        <v>63</v>
      </c>
      <c r="F9" s="6">
        <v>42972</v>
      </c>
      <c r="G9" s="5"/>
      <c r="H9" s="5" t="s">
        <v>31</v>
      </c>
      <c r="I9" s="5" t="s">
        <v>32</v>
      </c>
      <c r="J9" s="5" t="s">
        <v>33</v>
      </c>
      <c r="K9" s="7">
        <v>40689770.409999996</v>
      </c>
      <c r="L9" s="8">
        <v>8061459</v>
      </c>
      <c r="M9" s="9">
        <f t="shared" si="0"/>
        <v>48751229.409999996</v>
      </c>
      <c r="N9" s="5" t="s">
        <v>53</v>
      </c>
    </row>
    <row r="10" spans="1:27">
      <c r="A10" s="3" t="s">
        <v>27</v>
      </c>
      <c r="B10" s="4">
        <v>25262</v>
      </c>
      <c r="C10" s="5" t="s">
        <v>28</v>
      </c>
      <c r="D10" s="5" t="s">
        <v>64</v>
      </c>
      <c r="E10" s="5" t="s">
        <v>65</v>
      </c>
      <c r="F10" s="6">
        <v>42976</v>
      </c>
      <c r="G10" s="5"/>
      <c r="H10" s="5" t="s">
        <v>31</v>
      </c>
      <c r="I10" s="5" t="s">
        <v>32</v>
      </c>
      <c r="J10" s="5" t="s">
        <v>33</v>
      </c>
      <c r="K10" s="7">
        <v>598500</v>
      </c>
      <c r="L10" s="8">
        <v>107730</v>
      </c>
      <c r="M10" s="9">
        <f t="shared" si="0"/>
        <v>706230</v>
      </c>
      <c r="N10" s="5" t="s">
        <v>37</v>
      </c>
    </row>
    <row r="11" spans="1:27">
      <c r="A11" s="3" t="s">
        <v>27</v>
      </c>
      <c r="B11" s="4">
        <v>25262</v>
      </c>
      <c r="C11" s="5" t="s">
        <v>28</v>
      </c>
      <c r="D11" s="5" t="s">
        <v>66</v>
      </c>
      <c r="E11" s="5" t="s">
        <v>67</v>
      </c>
      <c r="F11" s="6">
        <v>42977</v>
      </c>
      <c r="G11" s="5"/>
      <c r="H11" s="5" t="s">
        <v>31</v>
      </c>
      <c r="I11" s="5" t="s">
        <v>32</v>
      </c>
      <c r="J11" s="5" t="s">
        <v>33</v>
      </c>
      <c r="K11" s="7">
        <v>1393308</v>
      </c>
      <c r="L11" s="8">
        <v>250795.44</v>
      </c>
      <c r="M11" s="9">
        <f t="shared" si="0"/>
        <v>1644103.44</v>
      </c>
      <c r="N11" s="5" t="s">
        <v>37</v>
      </c>
    </row>
    <row r="12" spans="1:27">
      <c r="A12" s="3" t="s">
        <v>27</v>
      </c>
      <c r="B12" s="4">
        <v>24963</v>
      </c>
      <c r="C12" s="5" t="s">
        <v>68</v>
      </c>
      <c r="D12" s="5" t="s">
        <v>69</v>
      </c>
      <c r="E12" s="5" t="s">
        <v>70</v>
      </c>
      <c r="F12" s="6">
        <v>42983</v>
      </c>
      <c r="G12" s="5"/>
      <c r="H12" s="5" t="s">
        <v>31</v>
      </c>
      <c r="I12" s="5" t="s">
        <v>32</v>
      </c>
      <c r="J12" s="5" t="s">
        <v>33</v>
      </c>
      <c r="K12" s="7">
        <v>27425745.359999999</v>
      </c>
      <c r="L12" s="8">
        <v>4936634.16</v>
      </c>
      <c r="M12" s="9">
        <f t="shared" si="0"/>
        <v>32362379.52</v>
      </c>
      <c r="N12" s="5" t="s">
        <v>37</v>
      </c>
    </row>
    <row r="13" spans="1:27">
      <c r="A13" s="3" t="s">
        <v>27</v>
      </c>
      <c r="B13" s="4">
        <v>19669</v>
      </c>
      <c r="C13" s="5" t="s">
        <v>71</v>
      </c>
      <c r="D13" s="5" t="s">
        <v>72</v>
      </c>
      <c r="E13" s="5" t="s">
        <v>73</v>
      </c>
      <c r="F13" s="6">
        <v>42996</v>
      </c>
      <c r="G13" s="5"/>
      <c r="H13" s="5" t="s">
        <v>31</v>
      </c>
      <c r="I13" s="5" t="s">
        <v>32</v>
      </c>
      <c r="J13" s="5" t="s">
        <v>33</v>
      </c>
      <c r="K13" s="7">
        <v>213000</v>
      </c>
      <c r="L13" s="8">
        <v>38340</v>
      </c>
      <c r="M13" s="9">
        <f t="shared" si="0"/>
        <v>251340</v>
      </c>
      <c r="N13" s="5" t="s">
        <v>53</v>
      </c>
    </row>
    <row r="14" spans="1:27">
      <c r="A14" s="3" t="s">
        <v>27</v>
      </c>
      <c r="B14" s="4">
        <v>3949</v>
      </c>
      <c r="C14" s="11" t="s">
        <v>74</v>
      </c>
      <c r="D14" s="5" t="s">
        <v>75</v>
      </c>
      <c r="E14" s="5" t="s">
        <v>76</v>
      </c>
      <c r="F14" s="6">
        <v>43001</v>
      </c>
      <c r="G14" s="5"/>
      <c r="H14" s="5" t="s">
        <v>51</v>
      </c>
      <c r="I14" s="5" t="s">
        <v>52</v>
      </c>
      <c r="J14" s="5" t="s">
        <v>33</v>
      </c>
      <c r="K14" s="7">
        <v>638892152.37600005</v>
      </c>
      <c r="L14" s="8">
        <v>38002509.439999998</v>
      </c>
      <c r="M14" s="9">
        <f t="shared" si="0"/>
        <v>676894661.81599998</v>
      </c>
      <c r="N14" s="5" t="s">
        <v>34</v>
      </c>
    </row>
    <row r="15" spans="1:27">
      <c r="A15" s="3" t="s">
        <v>27</v>
      </c>
      <c r="B15" s="4">
        <v>21614</v>
      </c>
      <c r="C15" s="5" t="s">
        <v>54</v>
      </c>
      <c r="D15" s="5" t="s">
        <v>77</v>
      </c>
      <c r="E15" s="5"/>
      <c r="F15" s="6">
        <v>43011</v>
      </c>
      <c r="G15" s="5"/>
      <c r="H15" s="5" t="s">
        <v>78</v>
      </c>
      <c r="I15" s="11" t="s">
        <v>45</v>
      </c>
      <c r="J15" s="5" t="s">
        <v>46</v>
      </c>
      <c r="K15" s="7">
        <v>166539584</v>
      </c>
      <c r="L15" s="8">
        <v>29977125.120000001</v>
      </c>
      <c r="M15" s="9">
        <f t="shared" si="0"/>
        <v>196516709.12</v>
      </c>
      <c r="N15" s="5" t="s">
        <v>79</v>
      </c>
    </row>
    <row r="16" spans="1:27">
      <c r="A16" s="3" t="s">
        <v>27</v>
      </c>
      <c r="B16" s="4">
        <v>21614</v>
      </c>
      <c r="C16" s="5" t="s">
        <v>54</v>
      </c>
      <c r="D16" s="5" t="s">
        <v>80</v>
      </c>
      <c r="E16" s="5" t="s">
        <v>81</v>
      </c>
      <c r="F16" s="6">
        <v>43014</v>
      </c>
      <c r="G16" s="5"/>
      <c r="H16" s="5" t="s">
        <v>78</v>
      </c>
      <c r="I16" s="11" t="s">
        <v>45</v>
      </c>
      <c r="J16" s="5" t="s">
        <v>33</v>
      </c>
      <c r="K16" s="7">
        <v>134812673.24599999</v>
      </c>
      <c r="L16" s="8">
        <v>38067924.859999999</v>
      </c>
      <c r="M16" s="9">
        <f t="shared" si="0"/>
        <v>172880598.10600001</v>
      </c>
      <c r="N16" s="5" t="s">
        <v>79</v>
      </c>
    </row>
    <row r="17" spans="1:14">
      <c r="A17" s="3" t="s">
        <v>27</v>
      </c>
      <c r="B17" s="4">
        <v>25262</v>
      </c>
      <c r="C17" s="5" t="s">
        <v>28</v>
      </c>
      <c r="D17" s="5" t="s">
        <v>82</v>
      </c>
      <c r="E17" s="5" t="s">
        <v>83</v>
      </c>
      <c r="F17" s="6">
        <v>43016</v>
      </c>
      <c r="G17" s="5"/>
      <c r="H17" s="5" t="s">
        <v>31</v>
      </c>
      <c r="I17" s="5" t="s">
        <v>32</v>
      </c>
      <c r="J17" s="5" t="s">
        <v>33</v>
      </c>
      <c r="K17" s="7">
        <v>1235978.7</v>
      </c>
      <c r="L17" s="8">
        <v>222476.22</v>
      </c>
      <c r="M17" s="9">
        <f t="shared" si="0"/>
        <v>1458454.92</v>
      </c>
      <c r="N17" s="5" t="s">
        <v>37</v>
      </c>
    </row>
    <row r="18" spans="1:14">
      <c r="A18" s="3" t="s">
        <v>27</v>
      </c>
      <c r="B18" s="4">
        <v>25262</v>
      </c>
      <c r="C18" s="5" t="s">
        <v>28</v>
      </c>
      <c r="D18" s="5" t="s">
        <v>84</v>
      </c>
      <c r="E18" s="5" t="s">
        <v>85</v>
      </c>
      <c r="F18" s="6">
        <v>43026</v>
      </c>
      <c r="G18" s="5"/>
      <c r="H18" s="5" t="s">
        <v>31</v>
      </c>
      <c r="I18" s="5" t="s">
        <v>32</v>
      </c>
      <c r="J18" s="5" t="s">
        <v>33</v>
      </c>
      <c r="K18" s="7">
        <v>2706445.73</v>
      </c>
      <c r="L18" s="8">
        <v>487160.24</v>
      </c>
      <c r="M18" s="9">
        <f t="shared" si="0"/>
        <v>3193605.9699999997</v>
      </c>
      <c r="N18" s="5" t="s">
        <v>37</v>
      </c>
    </row>
    <row r="19" spans="1:14">
      <c r="A19" s="3" t="s">
        <v>27</v>
      </c>
      <c r="B19" s="4">
        <v>25262</v>
      </c>
      <c r="C19" s="5" t="s">
        <v>28</v>
      </c>
      <c r="D19" s="5" t="s">
        <v>86</v>
      </c>
      <c r="E19" s="5" t="s">
        <v>36</v>
      </c>
      <c r="F19" s="6">
        <v>43029</v>
      </c>
      <c r="G19" s="5"/>
      <c r="H19" s="5" t="s">
        <v>31</v>
      </c>
      <c r="I19" s="5" t="s">
        <v>32</v>
      </c>
      <c r="J19" s="5" t="s">
        <v>33</v>
      </c>
      <c r="K19" s="7">
        <v>781000</v>
      </c>
      <c r="L19" s="8">
        <v>140580</v>
      </c>
      <c r="M19" s="9">
        <f t="shared" si="0"/>
        <v>921580</v>
      </c>
      <c r="N19" s="5" t="s">
        <v>37</v>
      </c>
    </row>
    <row r="20" spans="1:14">
      <c r="A20" s="3" t="s">
        <v>27</v>
      </c>
      <c r="B20" s="4">
        <v>25262</v>
      </c>
      <c r="C20" s="5" t="s">
        <v>28</v>
      </c>
      <c r="D20" s="5" t="s">
        <v>87</v>
      </c>
      <c r="E20" s="5" t="s">
        <v>88</v>
      </c>
      <c r="F20" s="6">
        <v>43040</v>
      </c>
      <c r="G20" s="5"/>
      <c r="H20" s="5" t="s">
        <v>31</v>
      </c>
      <c r="I20" s="5" t="s">
        <v>32</v>
      </c>
      <c r="J20" s="5" t="s">
        <v>33</v>
      </c>
      <c r="K20" s="7">
        <v>699150</v>
      </c>
      <c r="L20" s="8">
        <v>125847</v>
      </c>
      <c r="M20" s="9">
        <f t="shared" si="0"/>
        <v>824997</v>
      </c>
      <c r="N20" s="5" t="s">
        <v>37</v>
      </c>
    </row>
    <row r="21" spans="1:14">
      <c r="A21" s="3" t="s">
        <v>27</v>
      </c>
      <c r="B21" s="4">
        <v>25262</v>
      </c>
      <c r="C21" s="5" t="s">
        <v>28</v>
      </c>
      <c r="D21" s="5" t="s">
        <v>89</v>
      </c>
      <c r="E21" s="5" t="s">
        <v>90</v>
      </c>
      <c r="F21" s="6">
        <v>43050</v>
      </c>
      <c r="G21" s="5"/>
      <c r="H21" s="5" t="s">
        <v>31</v>
      </c>
      <c r="I21" s="5" t="s">
        <v>32</v>
      </c>
      <c r="J21" s="5" t="s">
        <v>33</v>
      </c>
      <c r="K21" s="7">
        <v>338796</v>
      </c>
      <c r="L21" s="8">
        <v>60983.28</v>
      </c>
      <c r="M21" s="9">
        <f t="shared" si="0"/>
        <v>399779.28</v>
      </c>
      <c r="N21" s="5" t="s">
        <v>34</v>
      </c>
    </row>
    <row r="22" spans="1:14">
      <c r="A22" s="3" t="s">
        <v>27</v>
      </c>
      <c r="B22" s="4">
        <v>25262</v>
      </c>
      <c r="C22" s="5" t="s">
        <v>28</v>
      </c>
      <c r="D22" s="5" t="s">
        <v>91</v>
      </c>
      <c r="E22" s="5" t="s">
        <v>92</v>
      </c>
      <c r="F22" s="6">
        <v>43055</v>
      </c>
      <c r="G22" s="5"/>
      <c r="H22" s="5" t="s">
        <v>31</v>
      </c>
      <c r="I22" s="5" t="s">
        <v>32</v>
      </c>
      <c r="J22" s="5" t="s">
        <v>33</v>
      </c>
      <c r="K22" s="7">
        <v>377299</v>
      </c>
      <c r="L22" s="8">
        <v>67913.820000000007</v>
      </c>
      <c r="M22" s="9">
        <f t="shared" si="0"/>
        <v>445212.82</v>
      </c>
      <c r="N22" s="5" t="s">
        <v>37</v>
      </c>
    </row>
    <row r="23" spans="1:14">
      <c r="A23" s="3" t="s">
        <v>27</v>
      </c>
      <c r="B23" s="4">
        <v>25262</v>
      </c>
      <c r="C23" s="5" t="s">
        <v>28</v>
      </c>
      <c r="D23" s="5" t="s">
        <v>93</v>
      </c>
      <c r="E23" s="5" t="s">
        <v>94</v>
      </c>
      <c r="F23" s="6">
        <v>43075</v>
      </c>
      <c r="G23" s="5"/>
      <c r="H23" s="5" t="s">
        <v>31</v>
      </c>
      <c r="I23" s="5" t="s">
        <v>32</v>
      </c>
      <c r="J23" s="5" t="s">
        <v>33</v>
      </c>
      <c r="K23" s="7">
        <v>766671</v>
      </c>
      <c r="L23" s="8">
        <v>138000.82</v>
      </c>
      <c r="M23" s="9">
        <f t="shared" si="0"/>
        <v>904671.82000000007</v>
      </c>
      <c r="N23" s="5" t="s">
        <v>37</v>
      </c>
    </row>
    <row r="24" spans="1:14">
      <c r="A24" s="3" t="s">
        <v>27</v>
      </c>
      <c r="B24" s="4">
        <v>25262</v>
      </c>
      <c r="C24" s="5" t="s">
        <v>28</v>
      </c>
      <c r="D24" s="5" t="s">
        <v>95</v>
      </c>
      <c r="E24" s="5" t="s">
        <v>96</v>
      </c>
      <c r="F24" s="6">
        <v>43082</v>
      </c>
      <c r="G24" s="5"/>
      <c r="H24" s="5" t="s">
        <v>31</v>
      </c>
      <c r="I24" s="5" t="s">
        <v>32</v>
      </c>
      <c r="J24" s="5" t="s">
        <v>33</v>
      </c>
      <c r="K24" s="7">
        <v>284427</v>
      </c>
      <c r="L24" s="8">
        <v>51196.86</v>
      </c>
      <c r="M24" s="9">
        <f t="shared" si="0"/>
        <v>335623.86</v>
      </c>
      <c r="N24" s="5" t="s">
        <v>37</v>
      </c>
    </row>
    <row r="25" spans="1:14">
      <c r="A25" s="3" t="s">
        <v>27</v>
      </c>
      <c r="B25" s="4">
        <v>24978</v>
      </c>
      <c r="C25" s="5" t="s">
        <v>97</v>
      </c>
      <c r="D25" s="5" t="s">
        <v>98</v>
      </c>
      <c r="E25" s="5" t="s">
        <v>99</v>
      </c>
      <c r="F25" s="6">
        <v>43084</v>
      </c>
      <c r="G25" s="5"/>
      <c r="H25" s="5" t="s">
        <v>31</v>
      </c>
      <c r="I25" s="5" t="s">
        <v>32</v>
      </c>
      <c r="J25" s="5" t="s">
        <v>33</v>
      </c>
      <c r="K25" s="7">
        <v>60000</v>
      </c>
      <c r="L25" s="8">
        <v>10800</v>
      </c>
      <c r="M25" s="9">
        <f t="shared" si="0"/>
        <v>70800</v>
      </c>
      <c r="N25" s="5" t="s">
        <v>47</v>
      </c>
    </row>
    <row r="26" spans="1:14">
      <c r="A26" s="3" t="s">
        <v>27</v>
      </c>
      <c r="B26" s="4">
        <v>24978</v>
      </c>
      <c r="C26" s="5" t="s">
        <v>97</v>
      </c>
      <c r="D26" s="5" t="s">
        <v>100</v>
      </c>
      <c r="E26" s="5" t="s">
        <v>101</v>
      </c>
      <c r="F26" s="6">
        <v>43084</v>
      </c>
      <c r="G26" s="5"/>
      <c r="H26" s="5" t="s">
        <v>31</v>
      </c>
      <c r="I26" s="5" t="s">
        <v>32</v>
      </c>
      <c r="J26" s="5" t="s">
        <v>33</v>
      </c>
      <c r="K26" s="7">
        <v>25000</v>
      </c>
      <c r="L26" s="8">
        <v>4500</v>
      </c>
      <c r="M26" s="9">
        <f t="shared" si="0"/>
        <v>29500</v>
      </c>
      <c r="N26" s="5" t="s">
        <v>47</v>
      </c>
    </row>
    <row r="27" spans="1:14">
      <c r="A27" s="3" t="s">
        <v>27</v>
      </c>
      <c r="B27" s="4">
        <v>25262</v>
      </c>
      <c r="C27" s="5" t="s">
        <v>28</v>
      </c>
      <c r="D27" s="5" t="s">
        <v>102</v>
      </c>
      <c r="E27" s="5" t="s">
        <v>103</v>
      </c>
      <c r="F27" s="6">
        <v>43089</v>
      </c>
      <c r="G27" s="5"/>
      <c r="H27" s="5" t="s">
        <v>31</v>
      </c>
      <c r="I27" s="5" t="s">
        <v>32</v>
      </c>
      <c r="J27" s="5" t="s">
        <v>33</v>
      </c>
      <c r="K27" s="7">
        <v>1138857.25</v>
      </c>
      <c r="L27" s="8">
        <v>204994.34</v>
      </c>
      <c r="M27" s="9">
        <f t="shared" si="0"/>
        <v>1343851.59</v>
      </c>
      <c r="N27" s="5" t="s">
        <v>37</v>
      </c>
    </row>
    <row r="28" spans="1:14">
      <c r="A28" s="3" t="s">
        <v>27</v>
      </c>
      <c r="B28" s="4">
        <v>25014</v>
      </c>
      <c r="C28" s="5" t="s">
        <v>104</v>
      </c>
      <c r="D28" s="5" t="s">
        <v>105</v>
      </c>
      <c r="E28" s="5" t="s">
        <v>106</v>
      </c>
      <c r="F28" s="6">
        <v>43094</v>
      </c>
      <c r="G28" s="5"/>
      <c r="H28" s="5" t="s">
        <v>31</v>
      </c>
      <c r="I28" s="5" t="s">
        <v>32</v>
      </c>
      <c r="J28" s="5" t="s">
        <v>33</v>
      </c>
      <c r="K28" s="7">
        <v>220000</v>
      </c>
      <c r="L28" s="8">
        <v>39600</v>
      </c>
      <c r="M28" s="9">
        <f t="shared" si="0"/>
        <v>259600</v>
      </c>
      <c r="N28" s="5" t="s">
        <v>37</v>
      </c>
    </row>
    <row r="29" spans="1:14">
      <c r="A29" s="3" t="s">
        <v>27</v>
      </c>
      <c r="B29" s="4">
        <v>21589</v>
      </c>
      <c r="C29" s="5" t="s">
        <v>107</v>
      </c>
      <c r="D29" s="5" t="s">
        <v>108</v>
      </c>
      <c r="E29" s="5" t="s">
        <v>109</v>
      </c>
      <c r="F29" s="6">
        <v>43095</v>
      </c>
      <c r="G29" s="5"/>
      <c r="H29" s="5" t="s">
        <v>110</v>
      </c>
      <c r="I29" s="5" t="s">
        <v>111</v>
      </c>
      <c r="J29" s="5" t="s">
        <v>33</v>
      </c>
      <c r="K29" s="7">
        <v>31932205.339000002</v>
      </c>
      <c r="L29" s="8">
        <v>5747796.96</v>
      </c>
      <c r="M29" s="9">
        <f t="shared" si="0"/>
        <v>37680002.299000002</v>
      </c>
      <c r="N29" s="5" t="s">
        <v>37</v>
      </c>
    </row>
    <row r="30" spans="1:14">
      <c r="A30" s="3" t="s">
        <v>27</v>
      </c>
      <c r="B30" s="4">
        <v>1469</v>
      </c>
      <c r="C30" s="5" t="s">
        <v>112</v>
      </c>
      <c r="D30" s="5" t="s">
        <v>113</v>
      </c>
      <c r="E30" s="5" t="s">
        <v>114</v>
      </c>
      <c r="F30" s="6">
        <v>43098</v>
      </c>
      <c r="G30" s="5"/>
      <c r="H30" s="5" t="s">
        <v>31</v>
      </c>
      <c r="I30" s="5" t="s">
        <v>32</v>
      </c>
      <c r="J30" s="5" t="s">
        <v>33</v>
      </c>
      <c r="K30" s="7">
        <v>168000</v>
      </c>
      <c r="L30" s="8">
        <v>30240</v>
      </c>
      <c r="M30" s="9">
        <f t="shared" si="0"/>
        <v>198240</v>
      </c>
      <c r="N30" s="5" t="s">
        <v>47</v>
      </c>
    </row>
    <row r="31" spans="1:14">
      <c r="A31" s="3" t="s">
        <v>27</v>
      </c>
      <c r="B31" s="4">
        <v>26317</v>
      </c>
      <c r="C31" s="5" t="s">
        <v>115</v>
      </c>
      <c r="D31" s="5" t="s">
        <v>116</v>
      </c>
      <c r="E31" s="5" t="s">
        <v>117</v>
      </c>
      <c r="F31" s="6">
        <v>43103</v>
      </c>
      <c r="G31" s="5"/>
      <c r="H31" s="5" t="s">
        <v>31</v>
      </c>
      <c r="I31" s="5" t="s">
        <v>32</v>
      </c>
      <c r="J31" s="5" t="s">
        <v>33</v>
      </c>
      <c r="K31" s="7">
        <v>89379.8</v>
      </c>
      <c r="L31" s="8">
        <v>16088.36</v>
      </c>
      <c r="M31" s="9">
        <f t="shared" si="0"/>
        <v>105468.16</v>
      </c>
      <c r="N31" s="5" t="s">
        <v>47</v>
      </c>
    </row>
    <row r="32" spans="1:14">
      <c r="A32" s="3" t="s">
        <v>27</v>
      </c>
      <c r="B32" s="4">
        <v>23749</v>
      </c>
      <c r="C32" s="5" t="s">
        <v>118</v>
      </c>
      <c r="D32" s="5" t="s">
        <v>119</v>
      </c>
      <c r="E32" s="5" t="s">
        <v>120</v>
      </c>
      <c r="F32" s="6">
        <v>43103</v>
      </c>
      <c r="G32" s="5"/>
      <c r="H32" s="5" t="s">
        <v>31</v>
      </c>
      <c r="I32" s="5" t="s">
        <v>32</v>
      </c>
      <c r="J32" s="5" t="s">
        <v>33</v>
      </c>
      <c r="K32" s="7">
        <v>146555</v>
      </c>
      <c r="L32" s="8">
        <v>26379.9</v>
      </c>
      <c r="M32" s="9">
        <f t="shared" si="0"/>
        <v>172934.9</v>
      </c>
      <c r="N32" s="5" t="s">
        <v>37</v>
      </c>
    </row>
    <row r="33" spans="1:14">
      <c r="A33" s="3" t="s">
        <v>27</v>
      </c>
      <c r="B33" s="4">
        <v>3906</v>
      </c>
      <c r="C33" s="5" t="s">
        <v>48</v>
      </c>
      <c r="D33" s="5" t="s">
        <v>121</v>
      </c>
      <c r="E33" s="5" t="s">
        <v>122</v>
      </c>
      <c r="F33" s="6">
        <v>43103</v>
      </c>
      <c r="G33" s="5"/>
      <c r="H33" s="5" t="s">
        <v>31</v>
      </c>
      <c r="I33" s="5" t="s">
        <v>32</v>
      </c>
      <c r="J33" s="5" t="s">
        <v>33</v>
      </c>
      <c r="K33" s="7">
        <v>1780000</v>
      </c>
      <c r="L33" s="8">
        <v>320400</v>
      </c>
      <c r="M33" s="9">
        <f t="shared" si="0"/>
        <v>2100400</v>
      </c>
      <c r="N33" s="5" t="s">
        <v>37</v>
      </c>
    </row>
    <row r="34" spans="1:14">
      <c r="A34" s="3" t="s">
        <v>27</v>
      </c>
      <c r="B34" s="4">
        <v>25262</v>
      </c>
      <c r="C34" s="5" t="s">
        <v>28</v>
      </c>
      <c r="D34" s="5" t="s">
        <v>123</v>
      </c>
      <c r="E34" s="5" t="s">
        <v>124</v>
      </c>
      <c r="F34" s="6">
        <v>43104</v>
      </c>
      <c r="G34" s="5"/>
      <c r="H34" s="5" t="s">
        <v>31</v>
      </c>
      <c r="I34" s="5" t="s">
        <v>32</v>
      </c>
      <c r="J34" s="5" t="s">
        <v>33</v>
      </c>
      <c r="K34" s="7">
        <v>873040</v>
      </c>
      <c r="L34" s="8">
        <v>157147.20000000001</v>
      </c>
      <c r="M34" s="9">
        <f t="shared" si="0"/>
        <v>1030187.2</v>
      </c>
      <c r="N34" s="5" t="s">
        <v>37</v>
      </c>
    </row>
    <row r="35" spans="1:14">
      <c r="A35" s="3" t="s">
        <v>27</v>
      </c>
      <c r="B35" s="4">
        <v>20338</v>
      </c>
      <c r="C35" s="5" t="s">
        <v>125</v>
      </c>
      <c r="D35" s="5" t="s">
        <v>126</v>
      </c>
      <c r="E35" s="5" t="s">
        <v>127</v>
      </c>
      <c r="F35" s="6">
        <v>43111</v>
      </c>
      <c r="G35" s="5"/>
      <c r="H35" s="5" t="s">
        <v>31</v>
      </c>
      <c r="I35" s="5" t="s">
        <v>32</v>
      </c>
      <c r="J35" s="5" t="s">
        <v>33</v>
      </c>
      <c r="K35" s="7">
        <v>0</v>
      </c>
      <c r="L35" s="8">
        <v>0</v>
      </c>
      <c r="M35" s="9">
        <f t="shared" si="0"/>
        <v>0</v>
      </c>
      <c r="N35" s="5" t="s">
        <v>47</v>
      </c>
    </row>
    <row r="36" spans="1:14">
      <c r="A36" s="3" t="s">
        <v>27</v>
      </c>
      <c r="B36" s="4">
        <v>26571</v>
      </c>
      <c r="C36" s="5" t="s">
        <v>128</v>
      </c>
      <c r="D36" s="5" t="s">
        <v>129</v>
      </c>
      <c r="E36" s="5" t="s">
        <v>130</v>
      </c>
      <c r="F36" s="6">
        <v>43112</v>
      </c>
      <c r="G36" s="5"/>
      <c r="H36" s="5" t="s">
        <v>31</v>
      </c>
      <c r="I36" s="5" t="s">
        <v>32</v>
      </c>
      <c r="J36" s="5" t="s">
        <v>33</v>
      </c>
      <c r="K36" s="7">
        <v>252000</v>
      </c>
      <c r="L36" s="8">
        <v>45360</v>
      </c>
      <c r="M36" s="9">
        <f t="shared" si="0"/>
        <v>297360</v>
      </c>
      <c r="N36" s="5" t="s">
        <v>47</v>
      </c>
    </row>
    <row r="37" spans="1:14">
      <c r="A37" s="3" t="s">
        <v>27</v>
      </c>
      <c r="B37" s="4">
        <v>25262</v>
      </c>
      <c r="C37" s="5" t="s">
        <v>28</v>
      </c>
      <c r="D37" s="5" t="s">
        <v>131</v>
      </c>
      <c r="E37" s="5" t="s">
        <v>132</v>
      </c>
      <c r="F37" s="6">
        <v>43132</v>
      </c>
      <c r="G37" s="5"/>
      <c r="H37" s="5" t="s">
        <v>31</v>
      </c>
      <c r="I37" s="5" t="s">
        <v>32</v>
      </c>
      <c r="J37" s="5" t="s">
        <v>33</v>
      </c>
      <c r="K37" s="7">
        <v>1134480</v>
      </c>
      <c r="L37" s="8">
        <v>204206.4</v>
      </c>
      <c r="M37" s="9">
        <f t="shared" si="0"/>
        <v>1338686.3999999999</v>
      </c>
      <c r="N37" s="5" t="s">
        <v>47</v>
      </c>
    </row>
    <row r="38" spans="1:14">
      <c r="A38" s="3" t="s">
        <v>27</v>
      </c>
      <c r="B38" s="4">
        <v>18560</v>
      </c>
      <c r="C38" s="5" t="s">
        <v>133</v>
      </c>
      <c r="D38" s="5" t="s">
        <v>134</v>
      </c>
      <c r="E38" s="5" t="s">
        <v>135</v>
      </c>
      <c r="F38" s="6">
        <v>43135</v>
      </c>
      <c r="G38" s="5"/>
      <c r="H38" s="5" t="s">
        <v>31</v>
      </c>
      <c r="I38" s="5" t="s">
        <v>32</v>
      </c>
      <c r="J38" s="5" t="s">
        <v>33</v>
      </c>
      <c r="K38" s="7">
        <v>509307.38699999999</v>
      </c>
      <c r="L38" s="8">
        <v>91675.34</v>
      </c>
      <c r="M38" s="9">
        <f t="shared" si="0"/>
        <v>600982.72699999996</v>
      </c>
      <c r="N38" s="5" t="s">
        <v>37</v>
      </c>
    </row>
    <row r="39" spans="1:14">
      <c r="A39" s="3" t="s">
        <v>27</v>
      </c>
      <c r="B39" s="4">
        <v>26258</v>
      </c>
      <c r="C39" s="5" t="s">
        <v>136</v>
      </c>
      <c r="D39" s="5" t="s">
        <v>137</v>
      </c>
      <c r="E39" s="5" t="s">
        <v>138</v>
      </c>
      <c r="F39" s="6">
        <v>43136</v>
      </c>
      <c r="G39" s="5"/>
      <c r="H39" s="5" t="s">
        <v>31</v>
      </c>
      <c r="I39" s="5" t="s">
        <v>32</v>
      </c>
      <c r="J39" s="5" t="s">
        <v>33</v>
      </c>
      <c r="K39" s="7">
        <v>440000</v>
      </c>
      <c r="L39" s="8">
        <v>79200</v>
      </c>
      <c r="M39" s="9">
        <f t="shared" si="0"/>
        <v>519200</v>
      </c>
      <c r="N39" s="5" t="s">
        <v>47</v>
      </c>
    </row>
    <row r="40" spans="1:14">
      <c r="A40" s="3" t="s">
        <v>27</v>
      </c>
      <c r="B40" s="4">
        <v>25262</v>
      </c>
      <c r="C40" s="5" t="s">
        <v>28</v>
      </c>
      <c r="D40" s="5" t="s">
        <v>139</v>
      </c>
      <c r="E40" s="5" t="s">
        <v>140</v>
      </c>
      <c r="F40" s="6">
        <v>43143</v>
      </c>
      <c r="G40" s="5"/>
      <c r="H40" s="5" t="s">
        <v>31</v>
      </c>
      <c r="I40" s="5" t="s">
        <v>32</v>
      </c>
      <c r="J40" s="5" t="s">
        <v>33</v>
      </c>
      <c r="K40" s="7">
        <v>1812860</v>
      </c>
      <c r="L40" s="8">
        <v>326314.8</v>
      </c>
      <c r="M40" s="9">
        <f t="shared" si="0"/>
        <v>2139174.7999999998</v>
      </c>
      <c r="N40" s="5" t="s">
        <v>37</v>
      </c>
    </row>
    <row r="41" spans="1:14">
      <c r="A41" s="3" t="s">
        <v>27</v>
      </c>
      <c r="B41" s="4">
        <v>22951</v>
      </c>
      <c r="C41" s="5" t="s">
        <v>141</v>
      </c>
      <c r="D41" s="5" t="s">
        <v>142</v>
      </c>
      <c r="E41" s="5" t="s">
        <v>143</v>
      </c>
      <c r="F41" s="6">
        <v>43152</v>
      </c>
      <c r="G41" s="5"/>
      <c r="H41" s="5" t="s">
        <v>31</v>
      </c>
      <c r="I41" s="5" t="s">
        <v>32</v>
      </c>
      <c r="J41" s="5" t="s">
        <v>33</v>
      </c>
      <c r="K41" s="7">
        <v>284000</v>
      </c>
      <c r="L41" s="8">
        <v>51120</v>
      </c>
      <c r="M41" s="9">
        <f t="shared" si="0"/>
        <v>335120</v>
      </c>
      <c r="N41" s="5" t="s">
        <v>37</v>
      </c>
    </row>
    <row r="42" spans="1:14">
      <c r="A42" s="3" t="s">
        <v>27</v>
      </c>
      <c r="B42" s="4">
        <v>26258</v>
      </c>
      <c r="C42" s="5" t="s">
        <v>136</v>
      </c>
      <c r="D42" s="5" t="s">
        <v>144</v>
      </c>
      <c r="E42" s="5" t="s">
        <v>145</v>
      </c>
      <c r="F42" s="6">
        <v>43167</v>
      </c>
      <c r="G42" s="5"/>
      <c r="H42" s="5" t="s">
        <v>31</v>
      </c>
      <c r="I42" s="5" t="s">
        <v>32</v>
      </c>
      <c r="J42" s="5" t="s">
        <v>33</v>
      </c>
      <c r="K42" s="7">
        <v>945000</v>
      </c>
      <c r="L42" s="8">
        <v>170100</v>
      </c>
      <c r="M42" s="9">
        <f t="shared" si="0"/>
        <v>1115100</v>
      </c>
      <c r="N42" s="5" t="s">
        <v>47</v>
      </c>
    </row>
    <row r="43" spans="1:14">
      <c r="A43" s="3" t="s">
        <v>27</v>
      </c>
      <c r="B43" s="4">
        <v>26302</v>
      </c>
      <c r="C43" s="5" t="s">
        <v>146</v>
      </c>
      <c r="D43" s="5" t="s">
        <v>147</v>
      </c>
      <c r="E43" s="5" t="s">
        <v>148</v>
      </c>
      <c r="F43" s="6">
        <v>43171</v>
      </c>
      <c r="G43" s="5"/>
      <c r="H43" s="5" t="s">
        <v>31</v>
      </c>
      <c r="I43" s="5" t="s">
        <v>32</v>
      </c>
      <c r="J43" s="5" t="s">
        <v>33</v>
      </c>
      <c r="K43" s="7">
        <v>972757.5</v>
      </c>
      <c r="L43" s="8">
        <v>175096.36</v>
      </c>
      <c r="M43" s="9">
        <f t="shared" si="0"/>
        <v>1147853.8599999999</v>
      </c>
      <c r="N43" s="5" t="s">
        <v>37</v>
      </c>
    </row>
    <row r="44" spans="1:14">
      <c r="A44" s="3" t="s">
        <v>27</v>
      </c>
      <c r="B44" s="4">
        <v>24668</v>
      </c>
      <c r="C44" s="5" t="s">
        <v>149</v>
      </c>
      <c r="D44" s="5" t="s">
        <v>150</v>
      </c>
      <c r="E44" s="5" t="s">
        <v>151</v>
      </c>
      <c r="F44" s="6">
        <v>43176</v>
      </c>
      <c r="G44" s="5"/>
      <c r="H44" s="5" t="s">
        <v>31</v>
      </c>
      <c r="I44" s="5" t="s">
        <v>32</v>
      </c>
      <c r="J44" s="5" t="s">
        <v>33</v>
      </c>
      <c r="K44" s="7">
        <v>2974826</v>
      </c>
      <c r="L44" s="8">
        <v>535468.68000000005</v>
      </c>
      <c r="M44" s="9">
        <f t="shared" si="0"/>
        <v>3510294.68</v>
      </c>
      <c r="N44" s="5" t="s">
        <v>37</v>
      </c>
    </row>
    <row r="45" spans="1:14">
      <c r="A45" s="3" t="s">
        <v>27</v>
      </c>
      <c r="B45" s="4">
        <v>26736</v>
      </c>
      <c r="C45" s="5" t="s">
        <v>152</v>
      </c>
      <c r="D45" s="5" t="s">
        <v>153</v>
      </c>
      <c r="E45" s="5" t="s">
        <v>154</v>
      </c>
      <c r="F45" s="6">
        <v>43179</v>
      </c>
      <c r="G45" s="5"/>
      <c r="H45" s="5" t="s">
        <v>31</v>
      </c>
      <c r="I45" s="5" t="s">
        <v>32</v>
      </c>
      <c r="J45" s="5" t="s">
        <v>33</v>
      </c>
      <c r="K45" s="7">
        <v>20750</v>
      </c>
      <c r="L45" s="8">
        <v>3735</v>
      </c>
      <c r="M45" s="9">
        <f t="shared" si="0"/>
        <v>24485</v>
      </c>
      <c r="N45" s="5" t="s">
        <v>37</v>
      </c>
    </row>
    <row r="46" spans="1:14">
      <c r="A46" s="3" t="s">
        <v>27</v>
      </c>
      <c r="B46" s="4">
        <v>24787</v>
      </c>
      <c r="C46" s="5" t="s">
        <v>155</v>
      </c>
      <c r="D46" s="5" t="s">
        <v>156</v>
      </c>
      <c r="E46" s="5" t="s">
        <v>157</v>
      </c>
      <c r="F46" s="6">
        <v>43185</v>
      </c>
      <c r="G46" s="5"/>
      <c r="H46" s="5" t="s">
        <v>31</v>
      </c>
      <c r="I46" s="5" t="s">
        <v>32</v>
      </c>
      <c r="J46" s="5" t="s">
        <v>33</v>
      </c>
      <c r="K46" s="7">
        <v>205000</v>
      </c>
      <c r="L46" s="8">
        <v>36900</v>
      </c>
      <c r="M46" s="9">
        <f t="shared" si="0"/>
        <v>241900</v>
      </c>
      <c r="N46" s="5" t="s">
        <v>37</v>
      </c>
    </row>
    <row r="47" spans="1:14">
      <c r="A47" s="3" t="s">
        <v>27</v>
      </c>
      <c r="B47" s="4">
        <v>24746</v>
      </c>
      <c r="C47" s="5" t="s">
        <v>158</v>
      </c>
      <c r="D47" s="5" t="s">
        <v>159</v>
      </c>
      <c r="E47" s="5" t="s">
        <v>160</v>
      </c>
      <c r="F47" s="6">
        <v>43189</v>
      </c>
      <c r="G47" s="5"/>
      <c r="H47" s="5" t="s">
        <v>31</v>
      </c>
      <c r="I47" s="5" t="s">
        <v>32</v>
      </c>
      <c r="J47" s="5" t="s">
        <v>33</v>
      </c>
      <c r="K47" s="7">
        <v>575235</v>
      </c>
      <c r="L47" s="8">
        <v>103542.3</v>
      </c>
      <c r="M47" s="9">
        <f t="shared" si="0"/>
        <v>678777.3</v>
      </c>
      <c r="N47" s="5" t="s">
        <v>37</v>
      </c>
    </row>
    <row r="48" spans="1:14">
      <c r="A48" s="3" t="s">
        <v>27</v>
      </c>
      <c r="B48" s="4">
        <v>26789</v>
      </c>
      <c r="C48" s="5" t="s">
        <v>161</v>
      </c>
      <c r="D48" s="5" t="s">
        <v>162</v>
      </c>
      <c r="E48" s="5" t="s">
        <v>163</v>
      </c>
      <c r="F48" s="6">
        <v>43194</v>
      </c>
      <c r="G48" s="5"/>
      <c r="H48" s="5" t="s">
        <v>164</v>
      </c>
      <c r="I48" s="5" t="s">
        <v>165</v>
      </c>
      <c r="J48" s="5" t="s">
        <v>33</v>
      </c>
      <c r="K48" s="7">
        <v>24484000</v>
      </c>
      <c r="L48" s="8">
        <v>4407120</v>
      </c>
      <c r="M48" s="9">
        <f t="shared" si="0"/>
        <v>28891120</v>
      </c>
      <c r="N48" s="5" t="s">
        <v>34</v>
      </c>
    </row>
    <row r="49" spans="1:14">
      <c r="A49" s="3" t="s">
        <v>27</v>
      </c>
      <c r="B49" s="4">
        <v>21717</v>
      </c>
      <c r="C49" s="5" t="s">
        <v>166</v>
      </c>
      <c r="D49" s="5" t="s">
        <v>167</v>
      </c>
      <c r="E49" s="5" t="s">
        <v>168</v>
      </c>
      <c r="F49" s="6">
        <v>43204</v>
      </c>
      <c r="G49" s="5"/>
      <c r="H49" s="5" t="s">
        <v>31</v>
      </c>
      <c r="I49" s="5" t="s">
        <v>32</v>
      </c>
      <c r="J49" s="5" t="s">
        <v>33</v>
      </c>
      <c r="K49" s="7">
        <v>260000</v>
      </c>
      <c r="L49" s="8">
        <v>46800</v>
      </c>
      <c r="M49" s="9">
        <f t="shared" si="0"/>
        <v>306800</v>
      </c>
      <c r="N49" s="5" t="s">
        <v>53</v>
      </c>
    </row>
    <row r="50" spans="1:14">
      <c r="A50" s="3" t="s">
        <v>27</v>
      </c>
      <c r="B50" s="4">
        <v>22151</v>
      </c>
      <c r="C50" s="5" t="s">
        <v>169</v>
      </c>
      <c r="D50" s="5" t="s">
        <v>170</v>
      </c>
      <c r="E50" s="5" t="s">
        <v>171</v>
      </c>
      <c r="F50" s="6">
        <v>43210</v>
      </c>
      <c r="G50" s="5"/>
      <c r="H50" s="5" t="s">
        <v>31</v>
      </c>
      <c r="I50" s="5" t="s">
        <v>32</v>
      </c>
      <c r="J50" s="5" t="s">
        <v>33</v>
      </c>
      <c r="K50" s="7">
        <v>16000</v>
      </c>
      <c r="L50" s="8">
        <v>2880</v>
      </c>
      <c r="M50" s="9">
        <f t="shared" si="0"/>
        <v>18880</v>
      </c>
      <c r="N50" s="5" t="s">
        <v>47</v>
      </c>
    </row>
    <row r="51" spans="1:14">
      <c r="A51" s="3" t="s">
        <v>27</v>
      </c>
      <c r="B51" s="4">
        <v>24963</v>
      </c>
      <c r="C51" s="5" t="s">
        <v>68</v>
      </c>
      <c r="D51" s="5" t="s">
        <v>172</v>
      </c>
      <c r="E51" s="5" t="s">
        <v>173</v>
      </c>
      <c r="F51" s="6">
        <v>43220</v>
      </c>
      <c r="G51" s="5"/>
      <c r="H51" s="5" t="s">
        <v>31</v>
      </c>
      <c r="I51" s="5" t="s">
        <v>32</v>
      </c>
      <c r="J51" s="5" t="s">
        <v>33</v>
      </c>
      <c r="K51" s="7">
        <v>71177617.730000004</v>
      </c>
      <c r="L51" s="8">
        <v>22207103.850000001</v>
      </c>
      <c r="M51" s="9">
        <f t="shared" si="0"/>
        <v>93384721.580000013</v>
      </c>
      <c r="N51" s="5" t="s">
        <v>37</v>
      </c>
    </row>
    <row r="52" spans="1:14">
      <c r="A52" s="3" t="s">
        <v>27</v>
      </c>
      <c r="B52" s="4">
        <v>24963</v>
      </c>
      <c r="C52" s="5" t="s">
        <v>68</v>
      </c>
      <c r="D52" s="5" t="s">
        <v>174</v>
      </c>
      <c r="E52" s="5" t="s">
        <v>175</v>
      </c>
      <c r="F52" s="6">
        <v>43220</v>
      </c>
      <c r="G52" s="5"/>
      <c r="H52" s="5" t="s">
        <v>176</v>
      </c>
      <c r="I52" s="5" t="s">
        <v>177</v>
      </c>
      <c r="J52" s="5" t="s">
        <v>33</v>
      </c>
      <c r="K52" s="7">
        <v>115543693.65000001</v>
      </c>
      <c r="L52" s="8">
        <v>20797864.920000002</v>
      </c>
      <c r="M52" s="9">
        <f t="shared" si="0"/>
        <v>136341558.56999999</v>
      </c>
      <c r="N52" s="5" t="s">
        <v>37</v>
      </c>
    </row>
    <row r="53" spans="1:14">
      <c r="A53" s="3" t="s">
        <v>27</v>
      </c>
      <c r="B53" s="4">
        <v>3808</v>
      </c>
      <c r="C53" s="5" t="s">
        <v>178</v>
      </c>
      <c r="D53" s="5" t="s">
        <v>179</v>
      </c>
      <c r="E53" s="5" t="s">
        <v>180</v>
      </c>
      <c r="F53" s="6">
        <v>43230</v>
      </c>
      <c r="G53" s="5"/>
      <c r="H53" s="5" t="s">
        <v>78</v>
      </c>
      <c r="I53" s="11" t="s">
        <v>45</v>
      </c>
      <c r="J53" s="5" t="s">
        <v>46</v>
      </c>
      <c r="K53" s="7">
        <v>2184000</v>
      </c>
      <c r="L53" s="8">
        <v>417900</v>
      </c>
      <c r="M53" s="9">
        <f t="shared" si="0"/>
        <v>2601900</v>
      </c>
      <c r="N53" s="5" t="s">
        <v>34</v>
      </c>
    </row>
    <row r="54" spans="1:14">
      <c r="A54" s="3" t="s">
        <v>27</v>
      </c>
      <c r="B54" s="4">
        <v>2985</v>
      </c>
      <c r="C54" s="5" t="s">
        <v>181</v>
      </c>
      <c r="D54" s="5" t="s">
        <v>182</v>
      </c>
      <c r="E54" s="5" t="s">
        <v>180</v>
      </c>
      <c r="F54" s="6">
        <v>43230</v>
      </c>
      <c r="G54" s="5"/>
      <c r="H54" s="5" t="s">
        <v>78</v>
      </c>
      <c r="I54" s="11" t="s">
        <v>45</v>
      </c>
      <c r="J54" s="5" t="s">
        <v>46</v>
      </c>
      <c r="K54" s="7">
        <v>1404000</v>
      </c>
      <c r="L54" s="8">
        <v>268650</v>
      </c>
      <c r="M54" s="9">
        <f t="shared" si="0"/>
        <v>1672650</v>
      </c>
      <c r="N54" s="5" t="s">
        <v>34</v>
      </c>
    </row>
    <row r="55" spans="1:14">
      <c r="A55" s="3" t="s">
        <v>27</v>
      </c>
      <c r="B55" s="4">
        <v>26317</v>
      </c>
      <c r="C55" s="5" t="s">
        <v>115</v>
      </c>
      <c r="D55" s="5" t="s">
        <v>183</v>
      </c>
      <c r="E55" s="5" t="s">
        <v>184</v>
      </c>
      <c r="F55" s="6">
        <v>43234</v>
      </c>
      <c r="G55" s="5"/>
      <c r="H55" s="5" t="s">
        <v>31</v>
      </c>
      <c r="I55" s="5" t="s">
        <v>32</v>
      </c>
      <c r="J55" s="5" t="s">
        <v>33</v>
      </c>
      <c r="K55" s="7">
        <v>143706.6</v>
      </c>
      <c r="L55" s="8">
        <v>25867.18</v>
      </c>
      <c r="M55" s="9">
        <f t="shared" si="0"/>
        <v>169573.78</v>
      </c>
      <c r="N55" s="5" t="s">
        <v>47</v>
      </c>
    </row>
    <row r="56" spans="1:14">
      <c r="A56" s="3" t="s">
        <v>27</v>
      </c>
      <c r="B56" s="4">
        <v>24963</v>
      </c>
      <c r="C56" s="5" t="s">
        <v>68</v>
      </c>
      <c r="D56" s="5" t="s">
        <v>185</v>
      </c>
      <c r="E56" s="5" t="s">
        <v>186</v>
      </c>
      <c r="F56" s="6">
        <v>43236</v>
      </c>
      <c r="G56" s="5"/>
      <c r="H56" s="5" t="s">
        <v>31</v>
      </c>
      <c r="I56" s="5" t="s">
        <v>32</v>
      </c>
      <c r="J56" s="5" t="s">
        <v>33</v>
      </c>
      <c r="K56" s="7">
        <v>123001116.34900001</v>
      </c>
      <c r="L56" s="8">
        <v>43321499.869999997</v>
      </c>
      <c r="M56" s="9">
        <f t="shared" si="0"/>
        <v>166322616.21900001</v>
      </c>
      <c r="N56" s="5" t="s">
        <v>37</v>
      </c>
    </row>
    <row r="57" spans="1:14">
      <c r="A57" s="3" t="s">
        <v>27</v>
      </c>
      <c r="B57" s="4">
        <v>23110</v>
      </c>
      <c r="C57" s="5" t="s">
        <v>58</v>
      </c>
      <c r="D57" s="5" t="s">
        <v>187</v>
      </c>
      <c r="E57" s="5" t="s">
        <v>188</v>
      </c>
      <c r="F57" s="6">
        <v>43239</v>
      </c>
      <c r="G57" s="5"/>
      <c r="H57" s="5" t="s">
        <v>31</v>
      </c>
      <c r="I57" s="5" t="s">
        <v>32</v>
      </c>
      <c r="J57" s="5" t="s">
        <v>33</v>
      </c>
      <c r="K57" s="7">
        <v>1416367</v>
      </c>
      <c r="L57" s="8">
        <v>254946.06</v>
      </c>
      <c r="M57" s="9">
        <f t="shared" si="0"/>
        <v>1671313.06</v>
      </c>
      <c r="N57" s="5" t="s">
        <v>37</v>
      </c>
    </row>
    <row r="58" spans="1:14">
      <c r="A58" s="3" t="s">
        <v>27</v>
      </c>
      <c r="B58" s="4">
        <v>24978</v>
      </c>
      <c r="C58" s="5" t="s">
        <v>97</v>
      </c>
      <c r="D58" s="5" t="s">
        <v>189</v>
      </c>
      <c r="E58" s="5" t="s">
        <v>190</v>
      </c>
      <c r="F58" s="6">
        <v>43243</v>
      </c>
      <c r="G58" s="5"/>
      <c r="H58" s="5" t="s">
        <v>31</v>
      </c>
      <c r="I58" s="5" t="s">
        <v>32</v>
      </c>
      <c r="J58" s="5" t="s">
        <v>33</v>
      </c>
      <c r="K58" s="7">
        <v>10000</v>
      </c>
      <c r="L58" s="8">
        <v>1800</v>
      </c>
      <c r="M58" s="9">
        <f t="shared" si="0"/>
        <v>11800</v>
      </c>
      <c r="N58" s="5" t="s">
        <v>47</v>
      </c>
    </row>
    <row r="59" spans="1:14">
      <c r="A59" s="3" t="s">
        <v>27</v>
      </c>
      <c r="B59" s="4">
        <v>13876</v>
      </c>
      <c r="C59" s="5" t="s">
        <v>191</v>
      </c>
      <c r="D59" s="5" t="s">
        <v>192</v>
      </c>
      <c r="E59" s="5" t="s">
        <v>193</v>
      </c>
      <c r="F59" s="6">
        <v>43243</v>
      </c>
      <c r="G59" s="5"/>
      <c r="H59" s="5" t="s">
        <v>31</v>
      </c>
      <c r="I59" s="5" t="s">
        <v>32</v>
      </c>
      <c r="J59" s="5" t="s">
        <v>33</v>
      </c>
      <c r="K59" s="7">
        <v>227450.565</v>
      </c>
      <c r="L59" s="8">
        <v>40941.1</v>
      </c>
      <c r="M59" s="9">
        <f t="shared" si="0"/>
        <v>268391.66499999998</v>
      </c>
      <c r="N59" s="5" t="s">
        <v>79</v>
      </c>
    </row>
    <row r="60" spans="1:14">
      <c r="A60" s="3" t="s">
        <v>27</v>
      </c>
      <c r="B60" s="4">
        <v>13876</v>
      </c>
      <c r="C60" s="5" t="s">
        <v>191</v>
      </c>
      <c r="D60" s="5" t="s">
        <v>194</v>
      </c>
      <c r="E60" s="5" t="s">
        <v>195</v>
      </c>
      <c r="F60" s="6">
        <v>43243</v>
      </c>
      <c r="G60" s="5"/>
      <c r="H60" s="5" t="s">
        <v>31</v>
      </c>
      <c r="I60" s="5" t="s">
        <v>32</v>
      </c>
      <c r="J60" s="5" t="s">
        <v>33</v>
      </c>
      <c r="K60" s="7">
        <v>428009.4</v>
      </c>
      <c r="L60" s="8">
        <v>77041.679999999993</v>
      </c>
      <c r="M60" s="9">
        <f t="shared" si="0"/>
        <v>505051.08</v>
      </c>
      <c r="N60" s="5" t="s">
        <v>47</v>
      </c>
    </row>
    <row r="61" spans="1:14">
      <c r="A61" s="3" t="s">
        <v>27</v>
      </c>
      <c r="B61" s="4">
        <v>26568</v>
      </c>
      <c r="C61" s="5" t="s">
        <v>196</v>
      </c>
      <c r="D61" s="5" t="s">
        <v>197</v>
      </c>
      <c r="E61" s="5" t="s">
        <v>198</v>
      </c>
      <c r="F61" s="6">
        <v>43246</v>
      </c>
      <c r="G61" s="5"/>
      <c r="H61" s="5" t="s">
        <v>31</v>
      </c>
      <c r="I61" s="5" t="s">
        <v>32</v>
      </c>
      <c r="J61" s="5" t="s">
        <v>33</v>
      </c>
      <c r="K61" s="7">
        <v>814800</v>
      </c>
      <c r="L61" s="8">
        <v>146664</v>
      </c>
      <c r="M61" s="9">
        <f t="shared" si="0"/>
        <v>961464</v>
      </c>
      <c r="N61" s="5" t="s">
        <v>37</v>
      </c>
    </row>
    <row r="62" spans="1:14">
      <c r="A62" s="3" t="s">
        <v>27</v>
      </c>
      <c r="B62" s="4">
        <v>26790</v>
      </c>
      <c r="C62" s="5" t="s">
        <v>199</v>
      </c>
      <c r="D62" s="5" t="s">
        <v>200</v>
      </c>
      <c r="E62" s="5" t="s">
        <v>201</v>
      </c>
      <c r="F62" s="6">
        <v>43250</v>
      </c>
      <c r="G62" s="5"/>
      <c r="H62" s="5" t="s">
        <v>31</v>
      </c>
      <c r="I62" s="5" t="s">
        <v>32</v>
      </c>
      <c r="J62" s="5" t="s">
        <v>33</v>
      </c>
      <c r="K62" s="7">
        <v>6600000</v>
      </c>
      <c r="L62" s="8">
        <v>1188000</v>
      </c>
      <c r="M62" s="9">
        <f t="shared" si="0"/>
        <v>7788000</v>
      </c>
      <c r="N62" s="5" t="s">
        <v>37</v>
      </c>
    </row>
    <row r="63" spans="1:14">
      <c r="A63" s="3" t="s">
        <v>27</v>
      </c>
      <c r="B63" s="4">
        <v>20738</v>
      </c>
      <c r="C63" s="5" t="s">
        <v>202</v>
      </c>
      <c r="D63" s="5" t="s">
        <v>203</v>
      </c>
      <c r="E63" s="5" t="s">
        <v>204</v>
      </c>
      <c r="F63" s="6">
        <v>43271</v>
      </c>
      <c r="G63" s="5"/>
      <c r="H63" s="5" t="s">
        <v>31</v>
      </c>
      <c r="I63" s="5" t="s">
        <v>32</v>
      </c>
      <c r="J63" s="5" t="s">
        <v>33</v>
      </c>
      <c r="K63" s="7">
        <v>330000</v>
      </c>
      <c r="L63" s="8">
        <v>59400</v>
      </c>
      <c r="M63" s="9">
        <f t="shared" si="0"/>
        <v>389400</v>
      </c>
      <c r="N63" s="5" t="s">
        <v>53</v>
      </c>
    </row>
    <row r="64" spans="1:14">
      <c r="A64" s="3" t="s">
        <v>27</v>
      </c>
      <c r="B64" s="4">
        <v>25233</v>
      </c>
      <c r="C64" s="5" t="s">
        <v>205</v>
      </c>
      <c r="D64" s="5" t="s">
        <v>206</v>
      </c>
      <c r="E64" s="5" t="s">
        <v>207</v>
      </c>
      <c r="F64" s="6">
        <v>43278</v>
      </c>
      <c r="G64" s="5"/>
      <c r="H64" s="5" t="s">
        <v>31</v>
      </c>
      <c r="I64" s="5" t="s">
        <v>32</v>
      </c>
      <c r="J64" s="5" t="s">
        <v>33</v>
      </c>
      <c r="K64" s="7">
        <v>70400</v>
      </c>
      <c r="L64" s="8">
        <v>12672</v>
      </c>
      <c r="M64" s="9">
        <f t="shared" si="0"/>
        <v>83072</v>
      </c>
      <c r="N64" s="5" t="s">
        <v>37</v>
      </c>
    </row>
    <row r="65" spans="1:14">
      <c r="A65" s="3" t="s">
        <v>27</v>
      </c>
      <c r="B65" s="4">
        <v>22697</v>
      </c>
      <c r="C65" s="5" t="s">
        <v>208</v>
      </c>
      <c r="D65" s="5" t="s">
        <v>209</v>
      </c>
      <c r="E65" s="5" t="s">
        <v>210</v>
      </c>
      <c r="F65" s="6">
        <v>43280</v>
      </c>
      <c r="G65" s="5"/>
      <c r="H65" s="5" t="s">
        <v>51</v>
      </c>
      <c r="I65" s="5" t="s">
        <v>52</v>
      </c>
      <c r="J65" s="5" t="s">
        <v>33</v>
      </c>
      <c r="K65" s="7">
        <v>63207568</v>
      </c>
      <c r="L65" s="8">
        <v>11377362.24</v>
      </c>
      <c r="M65" s="9">
        <f t="shared" si="0"/>
        <v>74584930.239999995</v>
      </c>
      <c r="N65" s="5" t="s">
        <v>53</v>
      </c>
    </row>
    <row r="66" spans="1:14">
      <c r="A66" s="3" t="s">
        <v>27</v>
      </c>
      <c r="B66" s="4">
        <v>13959</v>
      </c>
      <c r="C66" s="5" t="s">
        <v>38</v>
      </c>
      <c r="D66" s="5" t="s">
        <v>211</v>
      </c>
      <c r="E66" s="5" t="s">
        <v>212</v>
      </c>
      <c r="F66" s="6">
        <v>43283</v>
      </c>
      <c r="G66" s="5"/>
      <c r="H66" s="5" t="s">
        <v>31</v>
      </c>
      <c r="I66" s="5" t="s">
        <v>32</v>
      </c>
      <c r="J66" s="5" t="s">
        <v>33</v>
      </c>
      <c r="K66" s="7">
        <v>2812500</v>
      </c>
      <c r="L66" s="8">
        <v>506250</v>
      </c>
      <c r="M66" s="9">
        <f t="shared" ref="M66:M129" si="1">+K66+L66</f>
        <v>3318750</v>
      </c>
      <c r="N66" s="5" t="s">
        <v>37</v>
      </c>
    </row>
    <row r="67" spans="1:14">
      <c r="A67" s="3" t="s">
        <v>27</v>
      </c>
      <c r="B67" s="4">
        <v>13959</v>
      </c>
      <c r="C67" s="5" t="s">
        <v>38</v>
      </c>
      <c r="D67" s="5" t="s">
        <v>213</v>
      </c>
      <c r="E67" s="5" t="s">
        <v>214</v>
      </c>
      <c r="F67" s="6">
        <v>43283</v>
      </c>
      <c r="G67" s="5"/>
      <c r="H67" s="5" t="s">
        <v>31</v>
      </c>
      <c r="I67" s="5" t="s">
        <v>32</v>
      </c>
      <c r="J67" s="5" t="s">
        <v>33</v>
      </c>
      <c r="K67" s="7">
        <v>1500000</v>
      </c>
      <c r="L67" s="8">
        <v>270000</v>
      </c>
      <c r="M67" s="9">
        <f t="shared" si="1"/>
        <v>1770000</v>
      </c>
      <c r="N67" s="5" t="s">
        <v>37</v>
      </c>
    </row>
    <row r="68" spans="1:14">
      <c r="A68" s="3" t="s">
        <v>27</v>
      </c>
      <c r="B68" s="4">
        <v>717</v>
      </c>
      <c r="C68" s="5" t="s">
        <v>215</v>
      </c>
      <c r="D68" s="5" t="s">
        <v>216</v>
      </c>
      <c r="E68" s="5" t="s">
        <v>217</v>
      </c>
      <c r="F68" s="6">
        <v>43285</v>
      </c>
      <c r="G68" s="5"/>
      <c r="H68" s="5" t="s">
        <v>218</v>
      </c>
      <c r="I68" s="5" t="s">
        <v>219</v>
      </c>
      <c r="J68" s="5" t="s">
        <v>33</v>
      </c>
      <c r="K68" s="7">
        <v>3330</v>
      </c>
      <c r="L68" s="8">
        <v>599.4</v>
      </c>
      <c r="M68" s="9">
        <f t="shared" si="1"/>
        <v>3929.4</v>
      </c>
      <c r="N68" s="5" t="s">
        <v>220</v>
      </c>
    </row>
    <row r="69" spans="1:14">
      <c r="A69" s="3" t="s">
        <v>27</v>
      </c>
      <c r="B69" s="4">
        <v>6231</v>
      </c>
      <c r="C69" s="5" t="s">
        <v>221</v>
      </c>
      <c r="D69" s="5" t="s">
        <v>222</v>
      </c>
      <c r="E69" s="5" t="s">
        <v>223</v>
      </c>
      <c r="F69" s="6">
        <v>43291</v>
      </c>
      <c r="G69" s="5"/>
      <c r="H69" s="5" t="s">
        <v>164</v>
      </c>
      <c r="I69" s="5" t="s">
        <v>165</v>
      </c>
      <c r="J69" s="5" t="s">
        <v>33</v>
      </c>
      <c r="K69" s="7">
        <v>25136</v>
      </c>
      <c r="L69" s="8">
        <v>4524.4799999999996</v>
      </c>
      <c r="M69" s="9">
        <f t="shared" si="1"/>
        <v>29660.48</v>
      </c>
      <c r="N69" s="5" t="s">
        <v>53</v>
      </c>
    </row>
    <row r="70" spans="1:14">
      <c r="A70" s="3" t="s">
        <v>27</v>
      </c>
      <c r="B70" s="4">
        <v>26781</v>
      </c>
      <c r="C70" s="5" t="s">
        <v>224</v>
      </c>
      <c r="D70" s="5" t="s">
        <v>225</v>
      </c>
      <c r="E70" s="5" t="s">
        <v>226</v>
      </c>
      <c r="F70" s="6">
        <v>43297</v>
      </c>
      <c r="G70" s="5"/>
      <c r="H70" s="5" t="s">
        <v>31</v>
      </c>
      <c r="I70" s="5" t="s">
        <v>32</v>
      </c>
      <c r="J70" s="5" t="s">
        <v>33</v>
      </c>
      <c r="K70" s="7">
        <v>543543.85499999998</v>
      </c>
      <c r="L70" s="8">
        <v>97837.9</v>
      </c>
      <c r="M70" s="9">
        <f t="shared" si="1"/>
        <v>641381.755</v>
      </c>
      <c r="N70" s="5" t="s">
        <v>37</v>
      </c>
    </row>
    <row r="71" spans="1:14">
      <c r="A71" s="3" t="s">
        <v>27</v>
      </c>
      <c r="B71" s="4">
        <v>25284</v>
      </c>
      <c r="C71" s="5" t="s">
        <v>227</v>
      </c>
      <c r="D71" s="5" t="s">
        <v>228</v>
      </c>
      <c r="E71" s="5" t="s">
        <v>229</v>
      </c>
      <c r="F71" s="6">
        <v>43319</v>
      </c>
      <c r="G71" s="5"/>
      <c r="H71" s="5" t="s">
        <v>31</v>
      </c>
      <c r="I71" s="5" t="s">
        <v>32</v>
      </c>
      <c r="J71" s="5" t="s">
        <v>33</v>
      </c>
      <c r="K71" s="7">
        <v>390000</v>
      </c>
      <c r="L71" s="8">
        <v>70200</v>
      </c>
      <c r="M71" s="9">
        <f t="shared" si="1"/>
        <v>460200</v>
      </c>
      <c r="N71" s="5" t="s">
        <v>47</v>
      </c>
    </row>
    <row r="72" spans="1:14">
      <c r="A72" s="3" t="s">
        <v>27</v>
      </c>
      <c r="B72" s="4">
        <v>26781</v>
      </c>
      <c r="C72" s="5" t="s">
        <v>224</v>
      </c>
      <c r="D72" s="5" t="s">
        <v>230</v>
      </c>
      <c r="E72" s="5" t="s">
        <v>231</v>
      </c>
      <c r="F72" s="6">
        <v>43323</v>
      </c>
      <c r="G72" s="5"/>
      <c r="H72" s="5" t="s">
        <v>176</v>
      </c>
      <c r="I72" s="5" t="s">
        <v>177</v>
      </c>
      <c r="J72" s="5" t="s">
        <v>33</v>
      </c>
      <c r="K72" s="7">
        <v>546872.82299999997</v>
      </c>
      <c r="L72" s="8">
        <v>98437.06</v>
      </c>
      <c r="M72" s="9">
        <f t="shared" si="1"/>
        <v>645309.88299999991</v>
      </c>
      <c r="N72" s="5" t="s">
        <v>47</v>
      </c>
    </row>
    <row r="73" spans="1:14">
      <c r="A73" s="3" t="s">
        <v>27</v>
      </c>
      <c r="B73" s="4">
        <v>21666</v>
      </c>
      <c r="C73" s="5" t="s">
        <v>232</v>
      </c>
      <c r="D73" s="5" t="s">
        <v>233</v>
      </c>
      <c r="E73" s="5" t="s">
        <v>234</v>
      </c>
      <c r="F73" s="6">
        <v>43325</v>
      </c>
      <c r="G73" s="5"/>
      <c r="H73" s="5" t="s">
        <v>31</v>
      </c>
      <c r="I73" s="5" t="s">
        <v>32</v>
      </c>
      <c r="J73" s="5" t="s">
        <v>33</v>
      </c>
      <c r="K73" s="7">
        <v>683928</v>
      </c>
      <c r="L73" s="8">
        <v>123107.04</v>
      </c>
      <c r="M73" s="9">
        <f t="shared" si="1"/>
        <v>807035.04</v>
      </c>
      <c r="N73" s="5" t="s">
        <v>37</v>
      </c>
    </row>
    <row r="74" spans="1:14">
      <c r="A74" s="3" t="s">
        <v>27</v>
      </c>
      <c r="B74" s="4">
        <v>26846</v>
      </c>
      <c r="C74" s="5" t="s">
        <v>235</v>
      </c>
      <c r="D74" s="5" t="s">
        <v>236</v>
      </c>
      <c r="E74" s="5" t="s">
        <v>237</v>
      </c>
      <c r="F74" s="6">
        <v>43325</v>
      </c>
      <c r="G74" s="5"/>
      <c r="H74" s="5" t="s">
        <v>31</v>
      </c>
      <c r="I74" s="5" t="s">
        <v>32</v>
      </c>
      <c r="J74" s="5" t="s">
        <v>33</v>
      </c>
      <c r="K74" s="7">
        <v>110000</v>
      </c>
      <c r="L74" s="8">
        <v>19800</v>
      </c>
      <c r="M74" s="9">
        <f t="shared" si="1"/>
        <v>129800</v>
      </c>
      <c r="N74" s="5" t="s">
        <v>37</v>
      </c>
    </row>
    <row r="75" spans="1:14">
      <c r="A75" s="3" t="s">
        <v>27</v>
      </c>
      <c r="B75" s="4">
        <v>27119</v>
      </c>
      <c r="C75" s="5" t="s">
        <v>238</v>
      </c>
      <c r="D75" s="5" t="s">
        <v>239</v>
      </c>
      <c r="E75" s="5" t="s">
        <v>240</v>
      </c>
      <c r="F75" s="6">
        <v>43331</v>
      </c>
      <c r="G75" s="5"/>
      <c r="H75" s="5" t="s">
        <v>164</v>
      </c>
      <c r="I75" s="5" t="s">
        <v>165</v>
      </c>
      <c r="J75" s="5" t="s">
        <v>33</v>
      </c>
      <c r="K75" s="7">
        <v>71298</v>
      </c>
      <c r="L75" s="8">
        <v>11099</v>
      </c>
      <c r="M75" s="9">
        <f t="shared" si="1"/>
        <v>82397</v>
      </c>
      <c r="N75" s="5" t="s">
        <v>53</v>
      </c>
    </row>
    <row r="76" spans="1:14">
      <c r="A76" s="3" t="s">
        <v>27</v>
      </c>
      <c r="B76" s="4">
        <v>22480</v>
      </c>
      <c r="C76" s="5" t="s">
        <v>241</v>
      </c>
      <c r="D76" s="5" t="s">
        <v>242</v>
      </c>
      <c r="E76" s="5" t="s">
        <v>243</v>
      </c>
      <c r="F76" s="6">
        <v>43335</v>
      </c>
      <c r="G76" s="5"/>
      <c r="H76" s="5" t="s">
        <v>31</v>
      </c>
      <c r="I76" s="5" t="s">
        <v>32</v>
      </c>
      <c r="J76" s="5" t="s">
        <v>33</v>
      </c>
      <c r="K76" s="7">
        <v>2172800</v>
      </c>
      <c r="L76" s="8">
        <v>391104</v>
      </c>
      <c r="M76" s="9">
        <f t="shared" si="1"/>
        <v>2563904</v>
      </c>
      <c r="N76" s="5" t="s">
        <v>47</v>
      </c>
    </row>
    <row r="77" spans="1:14">
      <c r="A77" s="3" t="s">
        <v>27</v>
      </c>
      <c r="B77" s="4">
        <v>25509</v>
      </c>
      <c r="C77" s="5" t="s">
        <v>244</v>
      </c>
      <c r="D77" s="5" t="s">
        <v>245</v>
      </c>
      <c r="E77" s="5" t="s">
        <v>246</v>
      </c>
      <c r="F77" s="6">
        <v>43340</v>
      </c>
      <c r="G77" s="5"/>
      <c r="H77" s="5" t="s">
        <v>247</v>
      </c>
      <c r="I77" s="11" t="s">
        <v>45</v>
      </c>
      <c r="J77" s="5" t="s">
        <v>33</v>
      </c>
      <c r="K77" s="7">
        <v>6490000</v>
      </c>
      <c r="L77" s="8">
        <v>324500</v>
      </c>
      <c r="M77" s="9">
        <f t="shared" si="1"/>
        <v>6814500</v>
      </c>
      <c r="N77" s="5" t="s">
        <v>47</v>
      </c>
    </row>
    <row r="78" spans="1:14">
      <c r="A78" s="3" t="s">
        <v>27</v>
      </c>
      <c r="B78" s="4">
        <v>20683</v>
      </c>
      <c r="C78" s="5" t="s">
        <v>248</v>
      </c>
      <c r="D78" s="5" t="s">
        <v>249</v>
      </c>
      <c r="E78" s="5" t="s">
        <v>250</v>
      </c>
      <c r="F78" s="6">
        <v>43348</v>
      </c>
      <c r="G78" s="5"/>
      <c r="H78" s="5" t="s">
        <v>31</v>
      </c>
      <c r="I78" s="5" t="s">
        <v>32</v>
      </c>
      <c r="J78" s="5" t="s">
        <v>33</v>
      </c>
      <c r="K78" s="7">
        <v>24199.998</v>
      </c>
      <c r="L78" s="10"/>
      <c r="M78" s="9">
        <f t="shared" si="1"/>
        <v>24199.998</v>
      </c>
      <c r="N78" s="5" t="s">
        <v>37</v>
      </c>
    </row>
    <row r="79" spans="1:14">
      <c r="A79" s="3" t="s">
        <v>27</v>
      </c>
      <c r="B79" s="4">
        <v>18555</v>
      </c>
      <c r="C79" s="5" t="s">
        <v>251</v>
      </c>
      <c r="D79" s="5" t="s">
        <v>252</v>
      </c>
      <c r="E79" s="5" t="s">
        <v>253</v>
      </c>
      <c r="F79" s="6">
        <v>43351</v>
      </c>
      <c r="G79" s="5"/>
      <c r="H79" s="5" t="s">
        <v>164</v>
      </c>
      <c r="I79" s="5" t="s">
        <v>165</v>
      </c>
      <c r="J79" s="5" t="s">
        <v>33</v>
      </c>
      <c r="K79" s="7">
        <v>27000</v>
      </c>
      <c r="L79" s="10"/>
      <c r="M79" s="9">
        <f t="shared" si="1"/>
        <v>27000</v>
      </c>
      <c r="N79" s="5" t="s">
        <v>53</v>
      </c>
    </row>
    <row r="80" spans="1:14">
      <c r="A80" s="3" t="s">
        <v>27</v>
      </c>
      <c r="B80" s="4">
        <v>23110</v>
      </c>
      <c r="C80" s="5" t="s">
        <v>58</v>
      </c>
      <c r="D80" s="5" t="s">
        <v>254</v>
      </c>
      <c r="E80" s="5" t="s">
        <v>186</v>
      </c>
      <c r="F80" s="6">
        <v>43370</v>
      </c>
      <c r="G80" s="5"/>
      <c r="H80" s="5" t="s">
        <v>31</v>
      </c>
      <c r="I80" s="5" t="s">
        <v>32</v>
      </c>
      <c r="J80" s="5" t="s">
        <v>33</v>
      </c>
      <c r="K80" s="7">
        <v>194722626.86199999</v>
      </c>
      <c r="L80" s="8">
        <v>35050072.840000004</v>
      </c>
      <c r="M80" s="9">
        <f t="shared" si="1"/>
        <v>229772699.70199999</v>
      </c>
      <c r="N80" s="5" t="s">
        <v>37</v>
      </c>
    </row>
    <row r="81" spans="1:14">
      <c r="A81" s="3" t="s">
        <v>27</v>
      </c>
      <c r="B81" s="4">
        <v>26372</v>
      </c>
      <c r="C81" s="5" t="s">
        <v>255</v>
      </c>
      <c r="D81" s="5" t="s">
        <v>256</v>
      </c>
      <c r="E81" s="5" t="s">
        <v>257</v>
      </c>
      <c r="F81" s="6">
        <v>43375</v>
      </c>
      <c r="G81" s="5"/>
      <c r="H81" s="5" t="s">
        <v>31</v>
      </c>
      <c r="I81" s="5" t="s">
        <v>32</v>
      </c>
      <c r="J81" s="5" t="s">
        <v>33</v>
      </c>
      <c r="K81" s="7">
        <v>935250</v>
      </c>
      <c r="L81" s="8">
        <v>168345</v>
      </c>
      <c r="M81" s="9">
        <f t="shared" si="1"/>
        <v>1103595</v>
      </c>
      <c r="N81" s="5" t="s">
        <v>53</v>
      </c>
    </row>
    <row r="82" spans="1:14">
      <c r="A82" s="3" t="s">
        <v>27</v>
      </c>
      <c r="B82" s="4">
        <v>26781</v>
      </c>
      <c r="C82" s="5" t="s">
        <v>224</v>
      </c>
      <c r="D82" s="5" t="s">
        <v>258</v>
      </c>
      <c r="E82" s="5" t="s">
        <v>259</v>
      </c>
      <c r="F82" s="6">
        <v>43393</v>
      </c>
      <c r="G82" s="5"/>
      <c r="H82" s="5" t="s">
        <v>31</v>
      </c>
      <c r="I82" s="5" t="s">
        <v>32</v>
      </c>
      <c r="J82" s="5" t="s">
        <v>33</v>
      </c>
      <c r="K82" s="7">
        <v>251920</v>
      </c>
      <c r="L82" s="8">
        <v>45345.599999999999</v>
      </c>
      <c r="M82" s="9">
        <f t="shared" si="1"/>
        <v>297265.59999999998</v>
      </c>
      <c r="N82" s="5" t="s">
        <v>47</v>
      </c>
    </row>
    <row r="83" spans="1:14">
      <c r="A83" s="3" t="s">
        <v>27</v>
      </c>
      <c r="B83" s="4">
        <v>20683</v>
      </c>
      <c r="C83" s="5" t="s">
        <v>248</v>
      </c>
      <c r="D83" s="5" t="s">
        <v>260</v>
      </c>
      <c r="E83" s="5" t="s">
        <v>261</v>
      </c>
      <c r="F83" s="6">
        <v>43397</v>
      </c>
      <c r="G83" s="5"/>
      <c r="H83" s="5" t="s">
        <v>31</v>
      </c>
      <c r="I83" s="5" t="s">
        <v>32</v>
      </c>
      <c r="J83" s="5" t="s">
        <v>33</v>
      </c>
      <c r="K83" s="7">
        <v>3882600.03</v>
      </c>
      <c r="L83" s="10"/>
      <c r="M83" s="9">
        <f t="shared" si="1"/>
        <v>3882600.03</v>
      </c>
      <c r="N83" s="5" t="s">
        <v>53</v>
      </c>
    </row>
    <row r="84" spans="1:14">
      <c r="A84" s="3" t="s">
        <v>27</v>
      </c>
      <c r="B84" s="4">
        <v>21757</v>
      </c>
      <c r="C84" s="5" t="s">
        <v>262</v>
      </c>
      <c r="D84" s="5" t="s">
        <v>263</v>
      </c>
      <c r="E84" s="5" t="s">
        <v>264</v>
      </c>
      <c r="F84" s="6">
        <v>43398</v>
      </c>
      <c r="G84" s="5"/>
      <c r="H84" s="5" t="s">
        <v>164</v>
      </c>
      <c r="I84" s="5" t="s">
        <v>165</v>
      </c>
      <c r="J84" s="5" t="s">
        <v>46</v>
      </c>
      <c r="K84" s="7">
        <v>50503500</v>
      </c>
      <c r="L84" s="8">
        <v>5927175</v>
      </c>
      <c r="M84" s="9">
        <f t="shared" si="1"/>
        <v>56430675</v>
      </c>
      <c r="N84" s="5" t="s">
        <v>47</v>
      </c>
    </row>
    <row r="85" spans="1:14">
      <c r="A85" s="3" t="s">
        <v>27</v>
      </c>
      <c r="B85" s="4">
        <v>25474</v>
      </c>
      <c r="C85" s="5" t="s">
        <v>265</v>
      </c>
      <c r="D85" s="5" t="s">
        <v>266</v>
      </c>
      <c r="E85" s="5" t="s">
        <v>267</v>
      </c>
      <c r="F85" s="6">
        <v>43398</v>
      </c>
      <c r="G85" s="5"/>
      <c r="H85" s="5" t="s">
        <v>164</v>
      </c>
      <c r="I85" s="5" t="s">
        <v>165</v>
      </c>
      <c r="J85" s="5" t="s">
        <v>46</v>
      </c>
      <c r="K85" s="7">
        <v>37507266</v>
      </c>
      <c r="L85" s="8">
        <v>4401915.32</v>
      </c>
      <c r="M85" s="9">
        <f t="shared" si="1"/>
        <v>41909181.32</v>
      </c>
      <c r="N85" s="5" t="s">
        <v>47</v>
      </c>
    </row>
    <row r="86" spans="1:14">
      <c r="A86" s="3" t="s">
        <v>27</v>
      </c>
      <c r="B86" s="4">
        <v>25262</v>
      </c>
      <c r="C86" s="5" t="s">
        <v>28</v>
      </c>
      <c r="D86" s="5" t="s">
        <v>268</v>
      </c>
      <c r="E86" s="5" t="s">
        <v>269</v>
      </c>
      <c r="F86" s="6">
        <v>43404</v>
      </c>
      <c r="G86" s="5"/>
      <c r="H86" s="5" t="s">
        <v>31</v>
      </c>
      <c r="I86" s="5" t="s">
        <v>32</v>
      </c>
      <c r="J86" s="5" t="s">
        <v>33</v>
      </c>
      <c r="K86" s="7">
        <v>2997388.8</v>
      </c>
      <c r="L86" s="8">
        <v>539529.98</v>
      </c>
      <c r="M86" s="9">
        <f t="shared" si="1"/>
        <v>3536918.78</v>
      </c>
      <c r="N86" s="5" t="s">
        <v>37</v>
      </c>
    </row>
    <row r="87" spans="1:14">
      <c r="A87" s="3" t="s">
        <v>27</v>
      </c>
      <c r="B87" s="4">
        <v>372</v>
      </c>
      <c r="C87" s="5" t="s">
        <v>270</v>
      </c>
      <c r="D87" s="5" t="s">
        <v>271</v>
      </c>
      <c r="E87" s="5" t="s">
        <v>272</v>
      </c>
      <c r="F87" s="6">
        <v>43411</v>
      </c>
      <c r="G87" s="5"/>
      <c r="H87" s="5" t="s">
        <v>31</v>
      </c>
      <c r="I87" s="5" t="s">
        <v>32</v>
      </c>
      <c r="J87" s="5" t="s">
        <v>33</v>
      </c>
      <c r="K87" s="7">
        <v>5000</v>
      </c>
      <c r="L87" s="8">
        <v>900</v>
      </c>
      <c r="M87" s="9">
        <f t="shared" si="1"/>
        <v>5900</v>
      </c>
      <c r="N87" s="5" t="s">
        <v>34</v>
      </c>
    </row>
    <row r="88" spans="1:14">
      <c r="A88" s="3" t="s">
        <v>27</v>
      </c>
      <c r="B88" s="4">
        <v>27289</v>
      </c>
      <c r="C88" s="5" t="s">
        <v>273</v>
      </c>
      <c r="D88" s="5" t="s">
        <v>274</v>
      </c>
      <c r="E88" s="5" t="s">
        <v>275</v>
      </c>
      <c r="F88" s="6">
        <v>43417</v>
      </c>
      <c r="G88" s="5"/>
      <c r="H88" s="5" t="s">
        <v>276</v>
      </c>
      <c r="I88" s="11" t="s">
        <v>45</v>
      </c>
      <c r="J88" s="5" t="s">
        <v>33</v>
      </c>
      <c r="K88" s="7">
        <v>4000</v>
      </c>
      <c r="L88" s="8">
        <v>720</v>
      </c>
      <c r="M88" s="9">
        <f t="shared" si="1"/>
        <v>4720</v>
      </c>
      <c r="N88" s="5" t="s">
        <v>53</v>
      </c>
    </row>
    <row r="89" spans="1:14">
      <c r="A89" s="3" t="s">
        <v>27</v>
      </c>
      <c r="B89" s="4">
        <v>3425</v>
      </c>
      <c r="C89" s="5" t="s">
        <v>277</v>
      </c>
      <c r="D89" s="5" t="s">
        <v>278</v>
      </c>
      <c r="E89" s="5" t="s">
        <v>279</v>
      </c>
      <c r="F89" s="6">
        <v>43431</v>
      </c>
      <c r="G89" s="5"/>
      <c r="H89" s="5" t="s">
        <v>176</v>
      </c>
      <c r="I89" s="5" t="s">
        <v>177</v>
      </c>
      <c r="J89" s="5" t="s">
        <v>33</v>
      </c>
      <c r="K89" s="7">
        <v>906360</v>
      </c>
      <c r="L89" s="8">
        <v>163144.79999999999</v>
      </c>
      <c r="M89" s="9">
        <f t="shared" si="1"/>
        <v>1069504.8</v>
      </c>
      <c r="N89" s="5" t="s">
        <v>37</v>
      </c>
    </row>
    <row r="90" spans="1:14">
      <c r="A90" s="3" t="s">
        <v>27</v>
      </c>
      <c r="B90" s="4">
        <v>24978</v>
      </c>
      <c r="C90" s="5" t="s">
        <v>97</v>
      </c>
      <c r="D90" s="5" t="s">
        <v>280</v>
      </c>
      <c r="E90" s="5" t="s">
        <v>281</v>
      </c>
      <c r="F90" s="6">
        <v>43432</v>
      </c>
      <c r="G90" s="5"/>
      <c r="H90" s="5" t="s">
        <v>31</v>
      </c>
      <c r="I90" s="5" t="s">
        <v>32</v>
      </c>
      <c r="J90" s="5" t="s">
        <v>33</v>
      </c>
      <c r="K90" s="7">
        <v>310000</v>
      </c>
      <c r="L90" s="8">
        <v>55800</v>
      </c>
      <c r="M90" s="9">
        <f t="shared" si="1"/>
        <v>365800</v>
      </c>
      <c r="N90" s="5" t="s">
        <v>37</v>
      </c>
    </row>
    <row r="91" spans="1:14">
      <c r="A91" s="3" t="s">
        <v>27</v>
      </c>
      <c r="B91" s="4">
        <v>19669</v>
      </c>
      <c r="C91" s="5" t="s">
        <v>71</v>
      </c>
      <c r="D91" s="5" t="s">
        <v>282</v>
      </c>
      <c r="E91" s="5" t="s">
        <v>283</v>
      </c>
      <c r="F91" s="6">
        <v>43434</v>
      </c>
      <c r="G91" s="5"/>
      <c r="H91" s="5" t="s">
        <v>31</v>
      </c>
      <c r="I91" s="5" t="s">
        <v>32</v>
      </c>
      <c r="J91" s="5" t="s">
        <v>33</v>
      </c>
      <c r="K91" s="7">
        <v>142000</v>
      </c>
      <c r="L91" s="8">
        <v>25560</v>
      </c>
      <c r="M91" s="9">
        <f t="shared" si="1"/>
        <v>167560</v>
      </c>
      <c r="N91" s="5" t="s">
        <v>53</v>
      </c>
    </row>
    <row r="92" spans="1:14">
      <c r="A92" s="3" t="s">
        <v>27</v>
      </c>
      <c r="B92" s="4">
        <v>26248</v>
      </c>
      <c r="C92" s="5" t="s">
        <v>284</v>
      </c>
      <c r="D92" s="5" t="s">
        <v>285</v>
      </c>
      <c r="E92" s="5" t="s">
        <v>286</v>
      </c>
      <c r="F92" s="6">
        <v>43445</v>
      </c>
      <c r="G92" s="5"/>
      <c r="H92" s="5" t="s">
        <v>31</v>
      </c>
      <c r="I92" s="5" t="s">
        <v>32</v>
      </c>
      <c r="J92" s="5" t="s">
        <v>33</v>
      </c>
      <c r="K92" s="7">
        <v>966600</v>
      </c>
      <c r="L92" s="8">
        <v>173988</v>
      </c>
      <c r="M92" s="9">
        <f t="shared" si="1"/>
        <v>1140588</v>
      </c>
      <c r="N92" s="5" t="s">
        <v>37</v>
      </c>
    </row>
    <row r="93" spans="1:14">
      <c r="A93" s="3" t="s">
        <v>27</v>
      </c>
      <c r="B93" s="4">
        <v>27353</v>
      </c>
      <c r="C93" s="5" t="s">
        <v>287</v>
      </c>
      <c r="D93" s="5" t="s">
        <v>288</v>
      </c>
      <c r="E93" s="5" t="s">
        <v>289</v>
      </c>
      <c r="F93" s="6">
        <v>43447</v>
      </c>
      <c r="G93" s="5"/>
      <c r="H93" s="5" t="s">
        <v>247</v>
      </c>
      <c r="I93" s="11" t="s">
        <v>45</v>
      </c>
      <c r="J93" s="5" t="s">
        <v>46</v>
      </c>
      <c r="K93" s="7">
        <v>3726000</v>
      </c>
      <c r="L93" s="8">
        <v>186300</v>
      </c>
      <c r="M93" s="9">
        <f t="shared" si="1"/>
        <v>3912300</v>
      </c>
      <c r="N93" s="5" t="s">
        <v>47</v>
      </c>
    </row>
    <row r="94" spans="1:14">
      <c r="A94" s="3" t="s">
        <v>27</v>
      </c>
      <c r="B94" s="4">
        <v>26248</v>
      </c>
      <c r="C94" s="5" t="s">
        <v>284</v>
      </c>
      <c r="D94" s="5" t="s">
        <v>290</v>
      </c>
      <c r="E94" s="5" t="s">
        <v>291</v>
      </c>
      <c r="F94" s="6">
        <v>43449</v>
      </c>
      <c r="G94" s="5"/>
      <c r="H94" s="5" t="s">
        <v>31</v>
      </c>
      <c r="I94" s="5" t="s">
        <v>32</v>
      </c>
      <c r="J94" s="5" t="s">
        <v>33</v>
      </c>
      <c r="K94" s="7">
        <v>991240</v>
      </c>
      <c r="L94" s="8">
        <v>178423.2</v>
      </c>
      <c r="M94" s="9">
        <f t="shared" si="1"/>
        <v>1169663.2</v>
      </c>
      <c r="N94" s="5" t="s">
        <v>37</v>
      </c>
    </row>
    <row r="95" spans="1:14">
      <c r="A95" s="3" t="s">
        <v>27</v>
      </c>
      <c r="B95" s="4">
        <v>26846</v>
      </c>
      <c r="C95" s="5" t="s">
        <v>235</v>
      </c>
      <c r="D95" s="5" t="s">
        <v>292</v>
      </c>
      <c r="E95" s="5" t="s">
        <v>293</v>
      </c>
      <c r="F95" s="6">
        <v>43453</v>
      </c>
      <c r="G95" s="5"/>
      <c r="H95" s="5" t="s">
        <v>31</v>
      </c>
      <c r="I95" s="5" t="s">
        <v>32</v>
      </c>
      <c r="J95" s="5" t="s">
        <v>33</v>
      </c>
      <c r="K95" s="7">
        <v>6500</v>
      </c>
      <c r="L95" s="8">
        <v>1170</v>
      </c>
      <c r="M95" s="9">
        <f t="shared" si="1"/>
        <v>7670</v>
      </c>
      <c r="N95" s="5" t="s">
        <v>47</v>
      </c>
    </row>
    <row r="96" spans="1:14">
      <c r="A96" s="3" t="s">
        <v>27</v>
      </c>
      <c r="B96" s="4">
        <v>22697</v>
      </c>
      <c r="C96" s="5" t="s">
        <v>208</v>
      </c>
      <c r="D96" s="5" t="s">
        <v>294</v>
      </c>
      <c r="E96" s="5" t="s">
        <v>210</v>
      </c>
      <c r="F96" s="6">
        <v>43455</v>
      </c>
      <c r="G96" s="5"/>
      <c r="H96" s="5" t="s">
        <v>51</v>
      </c>
      <c r="I96" s="5" t="s">
        <v>52</v>
      </c>
      <c r="J96" s="5" t="s">
        <v>33</v>
      </c>
      <c r="K96" s="7">
        <v>85105549</v>
      </c>
      <c r="L96" s="8">
        <v>15293798.82</v>
      </c>
      <c r="M96" s="9">
        <f t="shared" si="1"/>
        <v>100399347.81999999</v>
      </c>
      <c r="N96" s="5" t="s">
        <v>53</v>
      </c>
    </row>
    <row r="97" spans="1:14">
      <c r="A97" s="3" t="s">
        <v>27</v>
      </c>
      <c r="B97" s="4">
        <v>15195</v>
      </c>
      <c r="C97" s="5" t="s">
        <v>295</v>
      </c>
      <c r="D97" s="5" t="s">
        <v>296</v>
      </c>
      <c r="E97" s="5" t="s">
        <v>297</v>
      </c>
      <c r="F97" s="6">
        <v>43466</v>
      </c>
      <c r="G97" s="5"/>
      <c r="H97" s="5" t="s">
        <v>31</v>
      </c>
      <c r="I97" s="5" t="s">
        <v>32</v>
      </c>
      <c r="J97" s="5" t="s">
        <v>33</v>
      </c>
      <c r="K97" s="7">
        <v>144300</v>
      </c>
      <c r="L97" s="8">
        <v>25974</v>
      </c>
      <c r="M97" s="9">
        <f t="shared" si="1"/>
        <v>170274</v>
      </c>
      <c r="N97" s="5" t="s">
        <v>37</v>
      </c>
    </row>
    <row r="98" spans="1:14">
      <c r="A98" s="3" t="s">
        <v>27</v>
      </c>
      <c r="B98" s="4">
        <v>25262</v>
      </c>
      <c r="C98" s="5" t="s">
        <v>28</v>
      </c>
      <c r="D98" s="5" t="s">
        <v>298</v>
      </c>
      <c r="E98" s="5" t="s">
        <v>299</v>
      </c>
      <c r="F98" s="6">
        <v>43466</v>
      </c>
      <c r="G98" s="5"/>
      <c r="H98" s="5" t="s">
        <v>276</v>
      </c>
      <c r="I98" s="11" t="s">
        <v>45</v>
      </c>
      <c r="J98" s="5" t="s">
        <v>33</v>
      </c>
      <c r="K98" s="7">
        <v>799000</v>
      </c>
      <c r="L98" s="8">
        <v>143820</v>
      </c>
      <c r="M98" s="9">
        <f t="shared" si="1"/>
        <v>942820</v>
      </c>
      <c r="N98" s="5" t="s">
        <v>34</v>
      </c>
    </row>
    <row r="99" spans="1:14">
      <c r="A99" s="3" t="s">
        <v>27</v>
      </c>
      <c r="B99" s="4">
        <v>27393</v>
      </c>
      <c r="C99" s="5" t="s">
        <v>300</v>
      </c>
      <c r="D99" s="5" t="s">
        <v>301</v>
      </c>
      <c r="E99" s="5" t="s">
        <v>302</v>
      </c>
      <c r="F99" s="6">
        <v>43466</v>
      </c>
      <c r="G99" s="5"/>
      <c r="H99" s="5" t="s">
        <v>31</v>
      </c>
      <c r="I99" s="5" t="s">
        <v>32</v>
      </c>
      <c r="J99" s="5" t="s">
        <v>33</v>
      </c>
      <c r="K99" s="7">
        <v>654460</v>
      </c>
      <c r="L99" s="8">
        <v>78535.199999999997</v>
      </c>
      <c r="M99" s="9">
        <f t="shared" si="1"/>
        <v>732995.2</v>
      </c>
      <c r="N99" s="5" t="s">
        <v>34</v>
      </c>
    </row>
    <row r="100" spans="1:14">
      <c r="A100" s="3" t="s">
        <v>27</v>
      </c>
      <c r="B100" s="4">
        <v>15115</v>
      </c>
      <c r="C100" s="5" t="s">
        <v>303</v>
      </c>
      <c r="D100" s="5" t="s">
        <v>304</v>
      </c>
      <c r="E100" s="5" t="s">
        <v>305</v>
      </c>
      <c r="F100" s="6">
        <v>43468</v>
      </c>
      <c r="G100" s="5"/>
      <c r="H100" s="5" t="s">
        <v>31</v>
      </c>
      <c r="I100" s="5" t="s">
        <v>32</v>
      </c>
      <c r="J100" s="5" t="s">
        <v>33</v>
      </c>
      <c r="K100" s="7">
        <v>84000</v>
      </c>
      <c r="L100" s="8">
        <v>15120</v>
      </c>
      <c r="M100" s="9">
        <f t="shared" si="1"/>
        <v>99120</v>
      </c>
      <c r="N100" s="5" t="s">
        <v>47</v>
      </c>
    </row>
    <row r="101" spans="1:14">
      <c r="A101" s="3" t="s">
        <v>27</v>
      </c>
      <c r="B101" s="4">
        <v>26568</v>
      </c>
      <c r="C101" s="5" t="s">
        <v>196</v>
      </c>
      <c r="D101" s="5" t="s">
        <v>306</v>
      </c>
      <c r="E101" s="5" t="s">
        <v>307</v>
      </c>
      <c r="F101" s="6">
        <v>43468</v>
      </c>
      <c r="G101" s="5"/>
      <c r="H101" s="5" t="s">
        <v>31</v>
      </c>
      <c r="I101" s="5" t="s">
        <v>32</v>
      </c>
      <c r="J101" s="5" t="s">
        <v>33</v>
      </c>
      <c r="K101" s="7">
        <v>356000</v>
      </c>
      <c r="L101" s="8">
        <v>64080</v>
      </c>
      <c r="M101" s="9">
        <f t="shared" si="1"/>
        <v>420080</v>
      </c>
      <c r="N101" s="5" t="s">
        <v>37</v>
      </c>
    </row>
    <row r="102" spans="1:14">
      <c r="A102" s="3" t="s">
        <v>27</v>
      </c>
      <c r="B102" s="4">
        <v>27092</v>
      </c>
      <c r="C102" s="5" t="s">
        <v>308</v>
      </c>
      <c r="D102" s="5" t="s">
        <v>309</v>
      </c>
      <c r="E102" s="5" t="s">
        <v>310</v>
      </c>
      <c r="F102" s="6">
        <v>43469</v>
      </c>
      <c r="G102" s="5"/>
      <c r="H102" s="5" t="s">
        <v>31</v>
      </c>
      <c r="I102" s="5" t="s">
        <v>32</v>
      </c>
      <c r="J102" s="5" t="s">
        <v>33</v>
      </c>
      <c r="K102" s="7">
        <v>2457100</v>
      </c>
      <c r="L102" s="8">
        <v>442278</v>
      </c>
      <c r="M102" s="9">
        <f t="shared" si="1"/>
        <v>2899378</v>
      </c>
      <c r="N102" s="5" t="s">
        <v>37</v>
      </c>
    </row>
    <row r="103" spans="1:14">
      <c r="A103" s="3" t="s">
        <v>27</v>
      </c>
      <c r="B103" s="4">
        <v>26248</v>
      </c>
      <c r="C103" s="5" t="s">
        <v>284</v>
      </c>
      <c r="D103" s="5" t="s">
        <v>311</v>
      </c>
      <c r="E103" s="5" t="s">
        <v>312</v>
      </c>
      <c r="F103" s="6">
        <v>43469</v>
      </c>
      <c r="G103" s="5"/>
      <c r="H103" s="5" t="s">
        <v>31</v>
      </c>
      <c r="I103" s="5" t="s">
        <v>32</v>
      </c>
      <c r="J103" s="5" t="s">
        <v>33</v>
      </c>
      <c r="K103" s="7">
        <v>2704308.05</v>
      </c>
      <c r="L103" s="8">
        <v>486775.54</v>
      </c>
      <c r="M103" s="9">
        <f t="shared" si="1"/>
        <v>3191083.59</v>
      </c>
      <c r="N103" s="5" t="s">
        <v>37</v>
      </c>
    </row>
    <row r="104" spans="1:14">
      <c r="A104" s="3" t="s">
        <v>27</v>
      </c>
      <c r="B104" s="4">
        <v>12718</v>
      </c>
      <c r="C104" s="5" t="s">
        <v>313</v>
      </c>
      <c r="D104" s="5" t="s">
        <v>314</v>
      </c>
      <c r="E104" s="5" t="s">
        <v>315</v>
      </c>
      <c r="F104" s="6">
        <v>43470</v>
      </c>
      <c r="G104" s="5"/>
      <c r="H104" s="5" t="s">
        <v>31</v>
      </c>
      <c r="I104" s="5" t="s">
        <v>32</v>
      </c>
      <c r="J104" s="5" t="s">
        <v>33</v>
      </c>
      <c r="K104" s="7">
        <v>112320</v>
      </c>
      <c r="L104" s="8">
        <v>20217.599999999999</v>
      </c>
      <c r="M104" s="9">
        <f t="shared" si="1"/>
        <v>132537.60000000001</v>
      </c>
      <c r="N104" s="5" t="s">
        <v>37</v>
      </c>
    </row>
    <row r="105" spans="1:14">
      <c r="A105" s="3" t="s">
        <v>27</v>
      </c>
      <c r="B105" s="4">
        <v>23749</v>
      </c>
      <c r="C105" s="5" t="s">
        <v>118</v>
      </c>
      <c r="D105" s="5" t="s">
        <v>316</v>
      </c>
      <c r="E105" s="5" t="s">
        <v>317</v>
      </c>
      <c r="F105" s="6">
        <v>43472</v>
      </c>
      <c r="G105" s="5"/>
      <c r="H105" s="5" t="s">
        <v>176</v>
      </c>
      <c r="I105" s="5" t="s">
        <v>177</v>
      </c>
      <c r="J105" s="5" t="s">
        <v>33</v>
      </c>
      <c r="K105" s="7">
        <v>290170</v>
      </c>
      <c r="L105" s="8">
        <v>52230.6</v>
      </c>
      <c r="M105" s="9">
        <f t="shared" si="1"/>
        <v>342400.6</v>
      </c>
      <c r="N105" s="5" t="s">
        <v>34</v>
      </c>
    </row>
    <row r="106" spans="1:14">
      <c r="A106" s="3" t="s">
        <v>27</v>
      </c>
      <c r="B106" s="4">
        <v>25629</v>
      </c>
      <c r="C106" s="5" t="s">
        <v>318</v>
      </c>
      <c r="D106" s="5" t="s">
        <v>319</v>
      </c>
      <c r="E106" s="5" t="s">
        <v>320</v>
      </c>
      <c r="F106" s="6">
        <v>43473</v>
      </c>
      <c r="G106" s="5"/>
      <c r="H106" s="5" t="s">
        <v>164</v>
      </c>
      <c r="I106" s="5" t="s">
        <v>165</v>
      </c>
      <c r="J106" s="5" t="s">
        <v>33</v>
      </c>
      <c r="K106" s="7">
        <v>9588</v>
      </c>
      <c r="L106" s="8">
        <v>1725.84</v>
      </c>
      <c r="M106" s="9">
        <f t="shared" si="1"/>
        <v>11313.84</v>
      </c>
      <c r="N106" s="5" t="s">
        <v>53</v>
      </c>
    </row>
    <row r="107" spans="1:14">
      <c r="A107" s="3" t="s">
        <v>27</v>
      </c>
      <c r="B107" s="4">
        <v>25629</v>
      </c>
      <c r="C107" s="5" t="s">
        <v>318</v>
      </c>
      <c r="D107" s="5" t="s">
        <v>321</v>
      </c>
      <c r="E107" s="5" t="s">
        <v>322</v>
      </c>
      <c r="F107" s="6">
        <v>43473</v>
      </c>
      <c r="G107" s="5"/>
      <c r="H107" s="5" t="s">
        <v>164</v>
      </c>
      <c r="I107" s="5" t="s">
        <v>165</v>
      </c>
      <c r="J107" s="5" t="s">
        <v>33</v>
      </c>
      <c r="K107" s="7">
        <v>9588</v>
      </c>
      <c r="L107" s="8">
        <v>1725.84</v>
      </c>
      <c r="M107" s="9">
        <f t="shared" si="1"/>
        <v>11313.84</v>
      </c>
      <c r="N107" s="5" t="s">
        <v>53</v>
      </c>
    </row>
    <row r="108" spans="1:14">
      <c r="A108" s="3" t="s">
        <v>27</v>
      </c>
      <c r="B108" s="4">
        <v>26248</v>
      </c>
      <c r="C108" s="5" t="s">
        <v>284</v>
      </c>
      <c r="D108" s="5" t="s">
        <v>323</v>
      </c>
      <c r="E108" s="5" t="s">
        <v>324</v>
      </c>
      <c r="F108" s="6">
        <v>43474</v>
      </c>
      <c r="G108" s="5"/>
      <c r="H108" s="5" t="s">
        <v>176</v>
      </c>
      <c r="I108" s="5" t="s">
        <v>177</v>
      </c>
      <c r="J108" s="5" t="s">
        <v>33</v>
      </c>
      <c r="K108" s="7">
        <v>2026000.11</v>
      </c>
      <c r="L108" s="8">
        <v>364680.04</v>
      </c>
      <c r="M108" s="9">
        <f t="shared" si="1"/>
        <v>2390680.15</v>
      </c>
      <c r="N108" s="5" t="s">
        <v>37</v>
      </c>
    </row>
    <row r="109" spans="1:14">
      <c r="A109" s="3" t="s">
        <v>27</v>
      </c>
      <c r="B109" s="4">
        <v>25516</v>
      </c>
      <c r="C109" s="5" t="s">
        <v>325</v>
      </c>
      <c r="D109" s="5" t="s">
        <v>326</v>
      </c>
      <c r="E109" s="5" t="s">
        <v>327</v>
      </c>
      <c r="F109" s="6">
        <v>43479</v>
      </c>
      <c r="G109" s="5"/>
      <c r="H109" s="5" t="s">
        <v>31</v>
      </c>
      <c r="I109" s="5" t="s">
        <v>32</v>
      </c>
      <c r="J109" s="5" t="s">
        <v>33</v>
      </c>
      <c r="K109" s="7">
        <v>989450</v>
      </c>
      <c r="L109" s="8">
        <v>178101</v>
      </c>
      <c r="M109" s="9">
        <f t="shared" si="1"/>
        <v>1167551</v>
      </c>
      <c r="N109" s="5" t="s">
        <v>53</v>
      </c>
    </row>
    <row r="110" spans="1:14">
      <c r="A110" s="3" t="s">
        <v>27</v>
      </c>
      <c r="B110" s="4">
        <v>26243</v>
      </c>
      <c r="C110" s="5" t="s">
        <v>328</v>
      </c>
      <c r="D110" s="5" t="s">
        <v>329</v>
      </c>
      <c r="E110" s="5" t="s">
        <v>330</v>
      </c>
      <c r="F110" s="6">
        <v>43479</v>
      </c>
      <c r="G110" s="5"/>
      <c r="H110" s="5" t="s">
        <v>31</v>
      </c>
      <c r="I110" s="5" t="s">
        <v>32</v>
      </c>
      <c r="J110" s="5" t="s">
        <v>33</v>
      </c>
      <c r="K110" s="7">
        <v>79000</v>
      </c>
      <c r="L110" s="8">
        <v>14220</v>
      </c>
      <c r="M110" s="9">
        <f t="shared" si="1"/>
        <v>93220</v>
      </c>
      <c r="N110" s="5" t="s">
        <v>37</v>
      </c>
    </row>
    <row r="111" spans="1:14">
      <c r="A111" s="3" t="s">
        <v>27</v>
      </c>
      <c r="B111" s="4">
        <v>22164</v>
      </c>
      <c r="C111" s="5" t="s">
        <v>331</v>
      </c>
      <c r="D111" s="5" t="s">
        <v>332</v>
      </c>
      <c r="E111" s="5" t="s">
        <v>333</v>
      </c>
      <c r="F111" s="6">
        <v>43480</v>
      </c>
      <c r="G111" s="5"/>
      <c r="H111" s="5" t="s">
        <v>176</v>
      </c>
      <c r="I111" s="5" t="s">
        <v>177</v>
      </c>
      <c r="J111" s="5" t="s">
        <v>33</v>
      </c>
      <c r="K111" s="7">
        <v>387155.02</v>
      </c>
      <c r="L111" s="8">
        <v>69687.899999999994</v>
      </c>
      <c r="M111" s="9">
        <f t="shared" si="1"/>
        <v>456842.92000000004</v>
      </c>
      <c r="N111" s="5" t="s">
        <v>34</v>
      </c>
    </row>
    <row r="112" spans="1:14">
      <c r="A112" s="3" t="s">
        <v>27</v>
      </c>
      <c r="B112" s="4">
        <v>12616</v>
      </c>
      <c r="C112" s="5" t="s">
        <v>334</v>
      </c>
      <c r="D112" s="5" t="s">
        <v>335</v>
      </c>
      <c r="E112" s="5" t="s">
        <v>336</v>
      </c>
      <c r="F112" s="6">
        <v>43481</v>
      </c>
      <c r="G112" s="5"/>
      <c r="H112" s="5" t="s">
        <v>176</v>
      </c>
      <c r="I112" s="5" t="s">
        <v>177</v>
      </c>
      <c r="J112" s="5" t="s">
        <v>33</v>
      </c>
      <c r="K112" s="7">
        <v>1135249.8219999999</v>
      </c>
      <c r="L112" s="8">
        <v>56762.5</v>
      </c>
      <c r="M112" s="9">
        <f t="shared" si="1"/>
        <v>1192012.3219999999</v>
      </c>
      <c r="N112" s="5" t="s">
        <v>34</v>
      </c>
    </row>
    <row r="113" spans="1:14">
      <c r="A113" s="3" t="s">
        <v>27</v>
      </c>
      <c r="B113" s="4">
        <v>21421</v>
      </c>
      <c r="C113" s="5" t="s">
        <v>337</v>
      </c>
      <c r="D113" s="5" t="s">
        <v>338</v>
      </c>
      <c r="E113" s="5" t="s">
        <v>339</v>
      </c>
      <c r="F113" s="6">
        <v>43482</v>
      </c>
      <c r="G113" s="5"/>
      <c r="H113" s="5" t="s">
        <v>31</v>
      </c>
      <c r="I113" s="5" t="s">
        <v>32</v>
      </c>
      <c r="J113" s="5" t="s">
        <v>33</v>
      </c>
      <c r="K113" s="7">
        <v>109900</v>
      </c>
      <c r="L113" s="8">
        <v>19782</v>
      </c>
      <c r="M113" s="9">
        <f t="shared" si="1"/>
        <v>129682</v>
      </c>
      <c r="N113" s="5" t="s">
        <v>37</v>
      </c>
    </row>
    <row r="114" spans="1:14">
      <c r="A114" s="3" t="s">
        <v>27</v>
      </c>
      <c r="B114" s="4">
        <v>1885</v>
      </c>
      <c r="C114" s="5" t="s">
        <v>340</v>
      </c>
      <c r="D114" s="5" t="s">
        <v>341</v>
      </c>
      <c r="E114" s="5" t="s">
        <v>342</v>
      </c>
      <c r="F114" s="6">
        <v>43483</v>
      </c>
      <c r="G114" s="5"/>
      <c r="H114" s="5" t="s">
        <v>31</v>
      </c>
      <c r="I114" s="5" t="s">
        <v>32</v>
      </c>
      <c r="J114" s="5" t="s">
        <v>33</v>
      </c>
      <c r="K114" s="7">
        <v>2479912</v>
      </c>
      <c r="L114" s="8">
        <v>446384.16</v>
      </c>
      <c r="M114" s="9">
        <f t="shared" si="1"/>
        <v>2926296.16</v>
      </c>
      <c r="N114" s="5" t="s">
        <v>37</v>
      </c>
    </row>
    <row r="115" spans="1:14">
      <c r="A115" s="3" t="s">
        <v>27</v>
      </c>
      <c r="B115" s="4">
        <v>3425</v>
      </c>
      <c r="C115" s="5" t="s">
        <v>277</v>
      </c>
      <c r="D115" s="5" t="s">
        <v>343</v>
      </c>
      <c r="E115" s="5" t="s">
        <v>344</v>
      </c>
      <c r="F115" s="6">
        <v>43486</v>
      </c>
      <c r="G115" s="5"/>
      <c r="H115" s="5" t="s">
        <v>31</v>
      </c>
      <c r="I115" s="5" t="s">
        <v>32</v>
      </c>
      <c r="J115" s="5" t="s">
        <v>33</v>
      </c>
      <c r="K115" s="7">
        <v>13500</v>
      </c>
      <c r="L115" s="8">
        <v>2430</v>
      </c>
      <c r="M115" s="9">
        <f t="shared" si="1"/>
        <v>15930</v>
      </c>
      <c r="N115" s="5" t="s">
        <v>37</v>
      </c>
    </row>
    <row r="116" spans="1:14">
      <c r="A116" s="3" t="s">
        <v>27</v>
      </c>
      <c r="B116" s="4">
        <v>25262</v>
      </c>
      <c r="C116" s="5" t="s">
        <v>28</v>
      </c>
      <c r="D116" s="5" t="s">
        <v>345</v>
      </c>
      <c r="E116" s="5" t="s">
        <v>346</v>
      </c>
      <c r="F116" s="6">
        <v>43487</v>
      </c>
      <c r="G116" s="5"/>
      <c r="H116" s="5" t="s">
        <v>176</v>
      </c>
      <c r="I116" s="5" t="s">
        <v>177</v>
      </c>
      <c r="J116" s="5" t="s">
        <v>33</v>
      </c>
      <c r="K116" s="7">
        <v>3084355</v>
      </c>
      <c r="L116" s="8">
        <v>555183.9</v>
      </c>
      <c r="M116" s="9">
        <f t="shared" si="1"/>
        <v>3639538.9</v>
      </c>
      <c r="N116" s="5" t="s">
        <v>34</v>
      </c>
    </row>
    <row r="117" spans="1:14">
      <c r="A117" s="3" t="s">
        <v>27</v>
      </c>
      <c r="B117" s="4">
        <v>20547</v>
      </c>
      <c r="C117" s="5" t="s">
        <v>347</v>
      </c>
      <c r="D117" s="5" t="s">
        <v>348</v>
      </c>
      <c r="E117" s="5" t="s">
        <v>349</v>
      </c>
      <c r="F117" s="6">
        <v>43489</v>
      </c>
      <c r="G117" s="5"/>
      <c r="H117" s="5" t="s">
        <v>31</v>
      </c>
      <c r="I117" s="5" t="s">
        <v>32</v>
      </c>
      <c r="J117" s="5" t="s">
        <v>33</v>
      </c>
      <c r="K117" s="7">
        <v>272385</v>
      </c>
      <c r="L117" s="8">
        <v>49029.3</v>
      </c>
      <c r="M117" s="9">
        <f t="shared" si="1"/>
        <v>321414.3</v>
      </c>
      <c r="N117" s="5" t="s">
        <v>47</v>
      </c>
    </row>
    <row r="118" spans="1:14">
      <c r="A118" s="3" t="s">
        <v>27</v>
      </c>
      <c r="B118" s="4">
        <v>22329</v>
      </c>
      <c r="C118" s="5" t="s">
        <v>350</v>
      </c>
      <c r="D118" s="5" t="s">
        <v>351</v>
      </c>
      <c r="E118" s="5" t="s">
        <v>352</v>
      </c>
      <c r="F118" s="6">
        <v>43489</v>
      </c>
      <c r="G118" s="5"/>
      <c r="H118" s="5" t="s">
        <v>176</v>
      </c>
      <c r="I118" s="5" t="s">
        <v>177</v>
      </c>
      <c r="J118" s="5" t="s">
        <v>33</v>
      </c>
      <c r="K118" s="7">
        <v>684000</v>
      </c>
      <c r="L118" s="8">
        <v>123120</v>
      </c>
      <c r="M118" s="9">
        <f t="shared" si="1"/>
        <v>807120</v>
      </c>
      <c r="N118" s="5" t="s">
        <v>34</v>
      </c>
    </row>
    <row r="119" spans="1:14">
      <c r="A119" s="3" t="s">
        <v>27</v>
      </c>
      <c r="B119" s="4">
        <v>24746</v>
      </c>
      <c r="C119" s="5" t="s">
        <v>158</v>
      </c>
      <c r="D119" s="5" t="s">
        <v>353</v>
      </c>
      <c r="E119" s="5" t="s">
        <v>354</v>
      </c>
      <c r="F119" s="6">
        <v>43490</v>
      </c>
      <c r="G119" s="5"/>
      <c r="H119" s="5" t="s">
        <v>176</v>
      </c>
      <c r="I119" s="5" t="s">
        <v>177</v>
      </c>
      <c r="J119" s="5" t="s">
        <v>33</v>
      </c>
      <c r="K119" s="7">
        <v>271952.64000000001</v>
      </c>
      <c r="L119" s="8">
        <v>48951.48</v>
      </c>
      <c r="M119" s="9">
        <f t="shared" si="1"/>
        <v>320904.12</v>
      </c>
      <c r="N119" s="5" t="s">
        <v>37</v>
      </c>
    </row>
    <row r="120" spans="1:14">
      <c r="A120" s="3" t="s">
        <v>27</v>
      </c>
      <c r="B120" s="4">
        <v>21666</v>
      </c>
      <c r="C120" s="5" t="s">
        <v>232</v>
      </c>
      <c r="D120" s="5" t="s">
        <v>355</v>
      </c>
      <c r="E120" s="5" t="s">
        <v>356</v>
      </c>
      <c r="F120" s="6">
        <v>43490</v>
      </c>
      <c r="G120" s="5"/>
      <c r="H120" s="5" t="s">
        <v>31</v>
      </c>
      <c r="I120" s="5" t="s">
        <v>32</v>
      </c>
      <c r="J120" s="5" t="s">
        <v>33</v>
      </c>
      <c r="K120" s="7">
        <v>191500</v>
      </c>
      <c r="L120" s="8">
        <v>34470</v>
      </c>
      <c r="M120" s="9">
        <f t="shared" si="1"/>
        <v>225970</v>
      </c>
      <c r="N120" s="5" t="s">
        <v>37</v>
      </c>
    </row>
    <row r="121" spans="1:14">
      <c r="A121" s="3" t="s">
        <v>27</v>
      </c>
      <c r="B121" s="4">
        <v>20738</v>
      </c>
      <c r="C121" s="5" t="s">
        <v>357</v>
      </c>
      <c r="D121" s="5" t="s">
        <v>358</v>
      </c>
      <c r="E121" s="5" t="s">
        <v>359</v>
      </c>
      <c r="F121" s="6">
        <v>43490</v>
      </c>
      <c r="G121" s="5"/>
      <c r="H121" s="5" t="s">
        <v>176</v>
      </c>
      <c r="I121" s="5" t="s">
        <v>177</v>
      </c>
      <c r="J121" s="5" t="s">
        <v>33</v>
      </c>
      <c r="K121" s="7">
        <v>180000</v>
      </c>
      <c r="L121" s="8">
        <v>32400</v>
      </c>
      <c r="M121" s="9">
        <f t="shared" si="1"/>
        <v>212400</v>
      </c>
      <c r="N121" s="5" t="s">
        <v>34</v>
      </c>
    </row>
    <row r="122" spans="1:14">
      <c r="A122" s="3" t="s">
        <v>27</v>
      </c>
      <c r="B122" s="4">
        <v>26755</v>
      </c>
      <c r="C122" s="5" t="s">
        <v>360</v>
      </c>
      <c r="D122" s="5" t="s">
        <v>361</v>
      </c>
      <c r="E122" s="5" t="s">
        <v>362</v>
      </c>
      <c r="F122" s="6">
        <v>43490</v>
      </c>
      <c r="G122" s="5"/>
      <c r="H122" s="5" t="s">
        <v>176</v>
      </c>
      <c r="I122" s="5" t="s">
        <v>177</v>
      </c>
      <c r="J122" s="5" t="s">
        <v>33</v>
      </c>
      <c r="K122" s="7">
        <v>150000</v>
      </c>
      <c r="L122" s="8">
        <v>27000</v>
      </c>
      <c r="M122" s="9">
        <f t="shared" si="1"/>
        <v>177000</v>
      </c>
      <c r="N122" s="5" t="s">
        <v>34</v>
      </c>
    </row>
    <row r="123" spans="1:14">
      <c r="A123" s="3" t="s">
        <v>27</v>
      </c>
      <c r="B123" s="4">
        <v>21161</v>
      </c>
      <c r="C123" s="5" t="s">
        <v>363</v>
      </c>
      <c r="D123" s="5" t="s">
        <v>364</v>
      </c>
      <c r="E123" s="5" t="s">
        <v>365</v>
      </c>
      <c r="F123" s="6">
        <v>43493</v>
      </c>
      <c r="G123" s="5"/>
      <c r="H123" s="5" t="s">
        <v>31</v>
      </c>
      <c r="I123" s="5" t="s">
        <v>32</v>
      </c>
      <c r="J123" s="5" t="s">
        <v>33</v>
      </c>
      <c r="K123" s="7">
        <v>854256.2</v>
      </c>
      <c r="L123" s="8">
        <v>153766.1</v>
      </c>
      <c r="M123" s="9">
        <f t="shared" si="1"/>
        <v>1008022.2999999999</v>
      </c>
      <c r="N123" s="5" t="s">
        <v>37</v>
      </c>
    </row>
    <row r="124" spans="1:14">
      <c r="A124" s="3" t="s">
        <v>27</v>
      </c>
      <c r="B124" s="4">
        <v>26243</v>
      </c>
      <c r="C124" s="5" t="s">
        <v>328</v>
      </c>
      <c r="D124" s="5" t="s">
        <v>366</v>
      </c>
      <c r="E124" s="5" t="s">
        <v>367</v>
      </c>
      <c r="F124" s="6">
        <v>43495</v>
      </c>
      <c r="G124" s="5"/>
      <c r="H124" s="5" t="s">
        <v>176</v>
      </c>
      <c r="I124" s="5" t="s">
        <v>177</v>
      </c>
      <c r="J124" s="5" t="s">
        <v>33</v>
      </c>
      <c r="K124" s="7">
        <v>923281.375</v>
      </c>
      <c r="L124" s="8">
        <v>166190.72</v>
      </c>
      <c r="M124" s="9">
        <f t="shared" si="1"/>
        <v>1089472.095</v>
      </c>
      <c r="N124" s="5" t="s">
        <v>34</v>
      </c>
    </row>
    <row r="125" spans="1:14">
      <c r="A125" s="3" t="s">
        <v>27</v>
      </c>
      <c r="B125" s="4">
        <v>27458</v>
      </c>
      <c r="C125" s="5" t="s">
        <v>368</v>
      </c>
      <c r="D125" s="5" t="s">
        <v>369</v>
      </c>
      <c r="E125" s="5" t="s">
        <v>370</v>
      </c>
      <c r="F125" s="6">
        <v>43495</v>
      </c>
      <c r="G125" s="5"/>
      <c r="H125" s="5" t="s">
        <v>31</v>
      </c>
      <c r="I125" s="5" t="s">
        <v>32</v>
      </c>
      <c r="J125" s="5" t="s">
        <v>33</v>
      </c>
      <c r="K125" s="7">
        <v>2840000</v>
      </c>
      <c r="L125" s="8">
        <v>511200</v>
      </c>
      <c r="M125" s="9">
        <f t="shared" si="1"/>
        <v>3351200</v>
      </c>
      <c r="N125" s="5" t="s">
        <v>371</v>
      </c>
    </row>
    <row r="126" spans="1:14">
      <c r="A126" s="3" t="s">
        <v>27</v>
      </c>
      <c r="B126" s="4">
        <v>789</v>
      </c>
      <c r="C126" s="5" t="s">
        <v>372</v>
      </c>
      <c r="D126" s="5" t="s">
        <v>373</v>
      </c>
      <c r="E126" s="5" t="s">
        <v>374</v>
      </c>
      <c r="F126" s="6">
        <v>43500</v>
      </c>
      <c r="G126" s="5"/>
      <c r="H126" s="5" t="s">
        <v>31</v>
      </c>
      <c r="I126" s="5" t="s">
        <v>32</v>
      </c>
      <c r="J126" s="5" t="s">
        <v>33</v>
      </c>
      <c r="K126" s="7">
        <v>6900</v>
      </c>
      <c r="L126" s="8">
        <v>1242</v>
      </c>
      <c r="M126" s="9">
        <f t="shared" si="1"/>
        <v>8142</v>
      </c>
      <c r="N126" s="5" t="s">
        <v>47</v>
      </c>
    </row>
    <row r="127" spans="1:14">
      <c r="A127" s="3" t="s">
        <v>27</v>
      </c>
      <c r="B127" s="4">
        <v>26248</v>
      </c>
      <c r="C127" s="5" t="s">
        <v>284</v>
      </c>
      <c r="D127" s="5" t="s">
        <v>375</v>
      </c>
      <c r="E127" s="5" t="s">
        <v>376</v>
      </c>
      <c r="F127" s="6">
        <v>43500</v>
      </c>
      <c r="G127" s="5"/>
      <c r="H127" s="5" t="s">
        <v>31</v>
      </c>
      <c r="I127" s="5" t="s">
        <v>32</v>
      </c>
      <c r="J127" s="5" t="s">
        <v>33</v>
      </c>
      <c r="K127" s="7">
        <v>453600</v>
      </c>
      <c r="L127" s="8">
        <v>81648</v>
      </c>
      <c r="M127" s="9">
        <f t="shared" si="1"/>
        <v>535248</v>
      </c>
      <c r="N127" s="5" t="s">
        <v>47</v>
      </c>
    </row>
    <row r="128" spans="1:14">
      <c r="A128" s="3" t="s">
        <v>27</v>
      </c>
      <c r="B128" s="4">
        <v>3655</v>
      </c>
      <c r="C128" s="5" t="s">
        <v>377</v>
      </c>
      <c r="D128" s="5" t="s">
        <v>378</v>
      </c>
      <c r="E128" s="5" t="s">
        <v>379</v>
      </c>
      <c r="F128" s="6">
        <v>43502</v>
      </c>
      <c r="G128" s="5"/>
      <c r="H128" s="5" t="s">
        <v>176</v>
      </c>
      <c r="I128" s="5" t="s">
        <v>177</v>
      </c>
      <c r="J128" s="5" t="s">
        <v>33</v>
      </c>
      <c r="K128" s="7">
        <v>477433.04</v>
      </c>
      <c r="L128" s="8">
        <v>85937.97</v>
      </c>
      <c r="M128" s="9">
        <f t="shared" si="1"/>
        <v>563371.01</v>
      </c>
      <c r="N128" s="5" t="s">
        <v>34</v>
      </c>
    </row>
    <row r="129" spans="1:14">
      <c r="A129" s="3" t="s">
        <v>27</v>
      </c>
      <c r="B129" s="4">
        <v>20995</v>
      </c>
      <c r="C129" s="5" t="s">
        <v>380</v>
      </c>
      <c r="D129" s="5" t="s">
        <v>381</v>
      </c>
      <c r="E129" s="5" t="s">
        <v>382</v>
      </c>
      <c r="F129" s="6">
        <v>43503</v>
      </c>
      <c r="G129" s="5"/>
      <c r="H129" s="5" t="s">
        <v>176</v>
      </c>
      <c r="I129" s="5" t="s">
        <v>177</v>
      </c>
      <c r="J129" s="5" t="s">
        <v>33</v>
      </c>
      <c r="K129" s="7">
        <v>732730</v>
      </c>
      <c r="L129" s="8">
        <v>131891.4</v>
      </c>
      <c r="M129" s="9">
        <f t="shared" si="1"/>
        <v>864621.4</v>
      </c>
      <c r="N129" s="5" t="s">
        <v>34</v>
      </c>
    </row>
    <row r="130" spans="1:14">
      <c r="A130" s="3" t="s">
        <v>27</v>
      </c>
      <c r="B130" s="4">
        <v>21161</v>
      </c>
      <c r="C130" s="5" t="s">
        <v>363</v>
      </c>
      <c r="D130" s="5" t="s">
        <v>383</v>
      </c>
      <c r="E130" s="5" t="s">
        <v>384</v>
      </c>
      <c r="F130" s="6">
        <v>43504</v>
      </c>
      <c r="G130" s="5"/>
      <c r="H130" s="5" t="s">
        <v>176</v>
      </c>
      <c r="I130" s="5" t="s">
        <v>177</v>
      </c>
      <c r="J130" s="5" t="s">
        <v>33</v>
      </c>
      <c r="K130" s="7">
        <v>2098175</v>
      </c>
      <c r="L130" s="8">
        <v>377671.5</v>
      </c>
      <c r="M130" s="9">
        <f t="shared" ref="M130:M193" si="2">+K130+L130</f>
        <v>2475846.5</v>
      </c>
      <c r="N130" s="5" t="s">
        <v>34</v>
      </c>
    </row>
    <row r="131" spans="1:14">
      <c r="A131" s="3" t="s">
        <v>27</v>
      </c>
      <c r="B131" s="4">
        <v>27490</v>
      </c>
      <c r="C131" s="5" t="s">
        <v>385</v>
      </c>
      <c r="D131" s="5" t="s">
        <v>386</v>
      </c>
      <c r="E131" s="5" t="s">
        <v>387</v>
      </c>
      <c r="F131" s="6">
        <v>43509</v>
      </c>
      <c r="G131" s="5"/>
      <c r="H131" s="5" t="s">
        <v>176</v>
      </c>
      <c r="I131" s="5" t="s">
        <v>177</v>
      </c>
      <c r="J131" s="5" t="s">
        <v>33</v>
      </c>
      <c r="K131" s="7">
        <v>1162200</v>
      </c>
      <c r="L131" s="8">
        <v>209196</v>
      </c>
      <c r="M131" s="9">
        <f t="shared" si="2"/>
        <v>1371396</v>
      </c>
      <c r="N131" s="5" t="s">
        <v>34</v>
      </c>
    </row>
    <row r="132" spans="1:14">
      <c r="A132" s="3" t="s">
        <v>27</v>
      </c>
      <c r="B132" s="4">
        <v>18867</v>
      </c>
      <c r="C132" s="5" t="s">
        <v>388</v>
      </c>
      <c r="D132" s="5" t="s">
        <v>389</v>
      </c>
      <c r="E132" s="5" t="s">
        <v>390</v>
      </c>
      <c r="F132" s="6">
        <v>43510</v>
      </c>
      <c r="G132" s="5"/>
      <c r="H132" s="5" t="s">
        <v>176</v>
      </c>
      <c r="I132" s="5" t="s">
        <v>177</v>
      </c>
      <c r="J132" s="5" t="s">
        <v>33</v>
      </c>
      <c r="K132" s="7">
        <v>2148215.5</v>
      </c>
      <c r="L132" s="8">
        <v>386678.8</v>
      </c>
      <c r="M132" s="9">
        <f t="shared" si="2"/>
        <v>2534894.2999999998</v>
      </c>
      <c r="N132" s="5" t="s">
        <v>34</v>
      </c>
    </row>
    <row r="133" spans="1:14">
      <c r="A133" s="3" t="s">
        <v>27</v>
      </c>
      <c r="B133" s="4">
        <v>12015</v>
      </c>
      <c r="C133" s="5" t="s">
        <v>391</v>
      </c>
      <c r="D133" s="5" t="s">
        <v>392</v>
      </c>
      <c r="E133" s="5" t="s">
        <v>393</v>
      </c>
      <c r="F133" s="6">
        <v>43514</v>
      </c>
      <c r="G133" s="5"/>
      <c r="H133" s="5" t="s">
        <v>176</v>
      </c>
      <c r="I133" s="5" t="s">
        <v>177</v>
      </c>
      <c r="J133" s="5" t="s">
        <v>33</v>
      </c>
      <c r="K133" s="7">
        <v>138472.5</v>
      </c>
      <c r="L133" s="8">
        <v>24925.06</v>
      </c>
      <c r="M133" s="9">
        <f t="shared" si="2"/>
        <v>163397.56</v>
      </c>
      <c r="N133" s="5" t="s">
        <v>34</v>
      </c>
    </row>
    <row r="134" spans="1:14">
      <c r="A134" s="3" t="s">
        <v>27</v>
      </c>
      <c r="B134" s="4">
        <v>15115</v>
      </c>
      <c r="C134" s="5" t="s">
        <v>303</v>
      </c>
      <c r="D134" s="5" t="s">
        <v>394</v>
      </c>
      <c r="E134" s="5" t="s">
        <v>395</v>
      </c>
      <c r="F134" s="6">
        <v>43514</v>
      </c>
      <c r="G134" s="5"/>
      <c r="H134" s="5" t="s">
        <v>176</v>
      </c>
      <c r="I134" s="5" t="s">
        <v>177</v>
      </c>
      <c r="J134" s="5" t="s">
        <v>33</v>
      </c>
      <c r="K134" s="7">
        <v>241120</v>
      </c>
      <c r="L134" s="8">
        <v>43401.599999999999</v>
      </c>
      <c r="M134" s="9">
        <f t="shared" si="2"/>
        <v>284521.59999999998</v>
      </c>
      <c r="N134" s="5" t="s">
        <v>34</v>
      </c>
    </row>
    <row r="135" spans="1:14">
      <c r="A135" s="3" t="s">
        <v>27</v>
      </c>
      <c r="B135" s="4">
        <v>18867</v>
      </c>
      <c r="C135" s="5" t="s">
        <v>388</v>
      </c>
      <c r="D135" s="5" t="s">
        <v>396</v>
      </c>
      <c r="E135" s="5" t="s">
        <v>397</v>
      </c>
      <c r="F135" s="6">
        <v>43515</v>
      </c>
      <c r="G135" s="5"/>
      <c r="H135" s="5" t="s">
        <v>176</v>
      </c>
      <c r="I135" s="5" t="s">
        <v>177</v>
      </c>
      <c r="J135" s="5" t="s">
        <v>33</v>
      </c>
      <c r="K135" s="7">
        <v>1761758.16</v>
      </c>
      <c r="L135" s="8">
        <v>317116.48</v>
      </c>
      <c r="M135" s="9">
        <f t="shared" si="2"/>
        <v>2078874.64</v>
      </c>
      <c r="N135" s="5" t="s">
        <v>34</v>
      </c>
    </row>
    <row r="136" spans="1:14">
      <c r="A136" s="3" t="s">
        <v>27</v>
      </c>
      <c r="B136" s="4">
        <v>3727</v>
      </c>
      <c r="C136" s="5" t="s">
        <v>398</v>
      </c>
      <c r="D136" s="5" t="s">
        <v>399</v>
      </c>
      <c r="E136" s="5" t="s">
        <v>400</v>
      </c>
      <c r="F136" s="6">
        <v>43516</v>
      </c>
      <c r="G136" s="5"/>
      <c r="H136" s="5" t="s">
        <v>176</v>
      </c>
      <c r="I136" s="5" t="s">
        <v>177</v>
      </c>
      <c r="J136" s="5" t="s">
        <v>33</v>
      </c>
      <c r="K136" s="7">
        <v>675000</v>
      </c>
      <c r="L136" s="8">
        <v>121500</v>
      </c>
      <c r="M136" s="9">
        <f t="shared" si="2"/>
        <v>796500</v>
      </c>
      <c r="N136" s="5" t="s">
        <v>34</v>
      </c>
    </row>
    <row r="137" spans="1:14">
      <c r="A137" s="3" t="s">
        <v>27</v>
      </c>
      <c r="B137" s="4">
        <v>3425</v>
      </c>
      <c r="C137" s="5" t="s">
        <v>277</v>
      </c>
      <c r="D137" s="5" t="s">
        <v>401</v>
      </c>
      <c r="E137" s="5" t="s">
        <v>402</v>
      </c>
      <c r="F137" s="6">
        <v>43517</v>
      </c>
      <c r="G137" s="5"/>
      <c r="H137" s="5" t="s">
        <v>164</v>
      </c>
      <c r="I137" s="5" t="s">
        <v>165</v>
      </c>
      <c r="J137" s="5" t="s">
        <v>33</v>
      </c>
      <c r="K137" s="7">
        <v>31500</v>
      </c>
      <c r="L137" s="8">
        <v>5670</v>
      </c>
      <c r="M137" s="9">
        <f t="shared" si="2"/>
        <v>37170</v>
      </c>
      <c r="N137" s="5" t="s">
        <v>53</v>
      </c>
    </row>
    <row r="138" spans="1:14">
      <c r="A138" s="3" t="s">
        <v>27</v>
      </c>
      <c r="B138" s="4">
        <v>26614</v>
      </c>
      <c r="C138" s="5" t="s">
        <v>403</v>
      </c>
      <c r="D138" s="5" t="s">
        <v>404</v>
      </c>
      <c r="E138" s="5" t="s">
        <v>405</v>
      </c>
      <c r="F138" s="6">
        <v>43522</v>
      </c>
      <c r="G138" s="5"/>
      <c r="H138" s="5" t="s">
        <v>176</v>
      </c>
      <c r="I138" s="5" t="s">
        <v>177</v>
      </c>
      <c r="J138" s="5" t="s">
        <v>33</v>
      </c>
      <c r="K138" s="7">
        <v>275000</v>
      </c>
      <c r="L138" s="8">
        <v>49500</v>
      </c>
      <c r="M138" s="9">
        <f t="shared" si="2"/>
        <v>324500</v>
      </c>
      <c r="N138" s="5" t="s">
        <v>34</v>
      </c>
    </row>
    <row r="139" spans="1:14">
      <c r="A139" s="3" t="s">
        <v>27</v>
      </c>
      <c r="B139" s="4">
        <v>21724</v>
      </c>
      <c r="C139" s="5" t="s">
        <v>406</v>
      </c>
      <c r="D139" s="5" t="s">
        <v>407</v>
      </c>
      <c r="E139" s="5" t="s">
        <v>408</v>
      </c>
      <c r="F139" s="6">
        <v>43522</v>
      </c>
      <c r="G139" s="5"/>
      <c r="H139" s="5" t="s">
        <v>176</v>
      </c>
      <c r="I139" s="5" t="s">
        <v>177</v>
      </c>
      <c r="J139" s="5" t="s">
        <v>33</v>
      </c>
      <c r="K139" s="7">
        <v>1015560</v>
      </c>
      <c r="L139" s="8">
        <v>182800.8</v>
      </c>
      <c r="M139" s="9">
        <f t="shared" si="2"/>
        <v>1198360.8</v>
      </c>
      <c r="N139" s="5" t="s">
        <v>34</v>
      </c>
    </row>
    <row r="140" spans="1:14">
      <c r="A140" s="3" t="s">
        <v>27</v>
      </c>
      <c r="B140" s="4">
        <v>26782</v>
      </c>
      <c r="C140" s="5" t="s">
        <v>409</v>
      </c>
      <c r="D140" s="5" t="s">
        <v>410</v>
      </c>
      <c r="E140" s="5"/>
      <c r="F140" s="6">
        <v>43525</v>
      </c>
      <c r="G140" s="5"/>
      <c r="H140" s="5" t="s">
        <v>411</v>
      </c>
      <c r="I140" s="5" t="s">
        <v>177</v>
      </c>
      <c r="J140" s="5" t="s">
        <v>33</v>
      </c>
      <c r="K140" s="7">
        <v>134550</v>
      </c>
      <c r="L140" s="8">
        <v>24219</v>
      </c>
      <c r="M140" s="9">
        <f t="shared" si="2"/>
        <v>158769</v>
      </c>
      <c r="N140" s="5" t="s">
        <v>34</v>
      </c>
    </row>
    <row r="141" spans="1:14">
      <c r="A141" s="3" t="s">
        <v>27</v>
      </c>
      <c r="B141" s="4">
        <v>21992</v>
      </c>
      <c r="C141" s="5" t="s">
        <v>412</v>
      </c>
      <c r="D141" s="5" t="s">
        <v>413</v>
      </c>
      <c r="E141" s="5" t="s">
        <v>414</v>
      </c>
      <c r="F141" s="6">
        <v>43526</v>
      </c>
      <c r="G141" s="5"/>
      <c r="H141" s="5" t="s">
        <v>176</v>
      </c>
      <c r="I141" s="5" t="s">
        <v>177</v>
      </c>
      <c r="J141" s="5" t="s">
        <v>33</v>
      </c>
      <c r="K141" s="7">
        <v>311250</v>
      </c>
      <c r="L141" s="8">
        <v>37350</v>
      </c>
      <c r="M141" s="9">
        <f t="shared" si="2"/>
        <v>348600</v>
      </c>
      <c r="N141" s="5" t="s">
        <v>34</v>
      </c>
    </row>
    <row r="142" spans="1:14">
      <c r="A142" s="3" t="s">
        <v>27</v>
      </c>
      <c r="B142" s="4">
        <v>20547</v>
      </c>
      <c r="C142" s="5" t="s">
        <v>347</v>
      </c>
      <c r="D142" s="5" t="s">
        <v>415</v>
      </c>
      <c r="E142" s="5" t="s">
        <v>416</v>
      </c>
      <c r="F142" s="6">
        <v>43528</v>
      </c>
      <c r="G142" s="5"/>
      <c r="H142" s="5" t="s">
        <v>176</v>
      </c>
      <c r="I142" s="5" t="s">
        <v>177</v>
      </c>
      <c r="J142" s="5" t="s">
        <v>33</v>
      </c>
      <c r="K142" s="7">
        <v>289275</v>
      </c>
      <c r="L142" s="8">
        <v>52069.5</v>
      </c>
      <c r="M142" s="9">
        <f t="shared" si="2"/>
        <v>341344.5</v>
      </c>
      <c r="N142" s="5" t="s">
        <v>34</v>
      </c>
    </row>
    <row r="143" spans="1:14">
      <c r="A143" s="3" t="s">
        <v>27</v>
      </c>
      <c r="B143" s="4">
        <v>15748</v>
      </c>
      <c r="C143" s="5" t="s">
        <v>417</v>
      </c>
      <c r="D143" s="5" t="s">
        <v>418</v>
      </c>
      <c r="E143" s="5" t="s">
        <v>419</v>
      </c>
      <c r="F143" s="6">
        <v>43532</v>
      </c>
      <c r="G143" s="5"/>
      <c r="H143" s="5" t="s">
        <v>176</v>
      </c>
      <c r="I143" s="5" t="s">
        <v>177</v>
      </c>
      <c r="J143" s="5" t="s">
        <v>33</v>
      </c>
      <c r="K143" s="7">
        <v>109270606.87</v>
      </c>
      <c r="L143" s="8">
        <v>19668709.260000002</v>
      </c>
      <c r="M143" s="9">
        <f t="shared" si="2"/>
        <v>128939316.13000001</v>
      </c>
      <c r="N143" s="5" t="s">
        <v>34</v>
      </c>
    </row>
    <row r="144" spans="1:14">
      <c r="A144" s="3" t="s">
        <v>27</v>
      </c>
      <c r="B144" s="4">
        <v>16755</v>
      </c>
      <c r="C144" s="5" t="s">
        <v>420</v>
      </c>
      <c r="D144" s="5" t="s">
        <v>421</v>
      </c>
      <c r="E144" s="5" t="s">
        <v>422</v>
      </c>
      <c r="F144" s="6">
        <v>43534</v>
      </c>
      <c r="G144" s="5"/>
      <c r="H144" s="5" t="s">
        <v>176</v>
      </c>
      <c r="I144" s="5" t="s">
        <v>177</v>
      </c>
      <c r="J144" s="5" t="s">
        <v>33</v>
      </c>
      <c r="K144" s="7">
        <v>1938079.5</v>
      </c>
      <c r="L144" s="8">
        <v>348854.32</v>
      </c>
      <c r="M144" s="9">
        <f t="shared" si="2"/>
        <v>2286933.8199999998</v>
      </c>
      <c r="N144" s="5" t="s">
        <v>34</v>
      </c>
    </row>
    <row r="145" spans="1:14">
      <c r="A145" s="3" t="s">
        <v>27</v>
      </c>
      <c r="B145" s="4">
        <v>3665</v>
      </c>
      <c r="C145" s="5" t="s">
        <v>423</v>
      </c>
      <c r="D145" s="5" t="s">
        <v>424</v>
      </c>
      <c r="E145" s="5" t="s">
        <v>425</v>
      </c>
      <c r="F145" s="6">
        <v>43536</v>
      </c>
      <c r="G145" s="5"/>
      <c r="H145" s="5" t="s">
        <v>176</v>
      </c>
      <c r="I145" s="5" t="s">
        <v>177</v>
      </c>
      <c r="J145" s="5" t="s">
        <v>33</v>
      </c>
      <c r="K145" s="7">
        <v>490300</v>
      </c>
      <c r="L145" s="8">
        <v>88254</v>
      </c>
      <c r="M145" s="9">
        <f t="shared" si="2"/>
        <v>578554</v>
      </c>
      <c r="N145" s="5" t="s">
        <v>34</v>
      </c>
    </row>
    <row r="146" spans="1:14">
      <c r="A146" s="3" t="s">
        <v>27</v>
      </c>
      <c r="B146" s="4">
        <v>27607</v>
      </c>
      <c r="C146" s="5" t="s">
        <v>426</v>
      </c>
      <c r="D146" s="5" t="s">
        <v>427</v>
      </c>
      <c r="E146" s="5" t="s">
        <v>428</v>
      </c>
      <c r="F146" s="6">
        <v>43537</v>
      </c>
      <c r="G146" s="5"/>
      <c r="H146" s="5" t="s">
        <v>176</v>
      </c>
      <c r="I146" s="5" t="s">
        <v>177</v>
      </c>
      <c r="J146" s="5" t="s">
        <v>33</v>
      </c>
      <c r="K146" s="7">
        <v>48480</v>
      </c>
      <c r="L146" s="8">
        <v>8726.4</v>
      </c>
      <c r="M146" s="9">
        <f t="shared" si="2"/>
        <v>57206.400000000001</v>
      </c>
      <c r="N146" s="5" t="s">
        <v>34</v>
      </c>
    </row>
    <row r="147" spans="1:14">
      <c r="A147" s="3" t="s">
        <v>27</v>
      </c>
      <c r="B147" s="4">
        <v>12616</v>
      </c>
      <c r="C147" s="5" t="s">
        <v>334</v>
      </c>
      <c r="D147" s="5" t="s">
        <v>429</v>
      </c>
      <c r="E147" s="5" t="s">
        <v>430</v>
      </c>
      <c r="F147" s="6">
        <v>43538</v>
      </c>
      <c r="G147" s="5"/>
      <c r="H147" s="5" t="s">
        <v>176</v>
      </c>
      <c r="I147" s="5" t="s">
        <v>177</v>
      </c>
      <c r="J147" s="5" t="s">
        <v>33</v>
      </c>
      <c r="K147" s="7">
        <v>2353123.2599999998</v>
      </c>
      <c r="L147" s="8">
        <v>423562.2</v>
      </c>
      <c r="M147" s="9">
        <f t="shared" si="2"/>
        <v>2776685.46</v>
      </c>
      <c r="N147" s="5" t="s">
        <v>34</v>
      </c>
    </row>
    <row r="148" spans="1:14">
      <c r="A148" s="3" t="s">
        <v>27</v>
      </c>
      <c r="B148" s="4">
        <v>3340</v>
      </c>
      <c r="C148" s="5" t="s">
        <v>431</v>
      </c>
      <c r="D148" s="5" t="s">
        <v>432</v>
      </c>
      <c r="E148" s="5" t="s">
        <v>433</v>
      </c>
      <c r="F148" s="6">
        <v>43539</v>
      </c>
      <c r="G148" s="5"/>
      <c r="H148" s="5" t="s">
        <v>176</v>
      </c>
      <c r="I148" s="5" t="s">
        <v>177</v>
      </c>
      <c r="J148" s="5" t="s">
        <v>33</v>
      </c>
      <c r="K148" s="7">
        <v>420000</v>
      </c>
      <c r="L148" s="8">
        <v>75600</v>
      </c>
      <c r="M148" s="9">
        <f t="shared" si="2"/>
        <v>495600</v>
      </c>
      <c r="N148" s="5" t="s">
        <v>34</v>
      </c>
    </row>
    <row r="149" spans="1:14">
      <c r="A149" s="3" t="s">
        <v>27</v>
      </c>
      <c r="B149" s="4">
        <v>27112</v>
      </c>
      <c r="C149" s="5" t="s">
        <v>434</v>
      </c>
      <c r="D149" s="5" t="s">
        <v>435</v>
      </c>
      <c r="E149" s="5" t="s">
        <v>436</v>
      </c>
      <c r="F149" s="6">
        <v>43540</v>
      </c>
      <c r="G149" s="5"/>
      <c r="H149" s="5" t="s">
        <v>164</v>
      </c>
      <c r="I149" s="5" t="s">
        <v>165</v>
      </c>
      <c r="J149" s="5" t="s">
        <v>33</v>
      </c>
      <c r="K149" s="7">
        <v>375500</v>
      </c>
      <c r="L149" s="8">
        <v>67590</v>
      </c>
      <c r="M149" s="9">
        <f t="shared" si="2"/>
        <v>443090</v>
      </c>
      <c r="N149" s="5" t="s">
        <v>220</v>
      </c>
    </row>
    <row r="150" spans="1:14">
      <c r="A150" s="3" t="s">
        <v>27</v>
      </c>
      <c r="B150" s="4">
        <v>24963</v>
      </c>
      <c r="C150" s="5" t="s">
        <v>68</v>
      </c>
      <c r="D150" s="5" t="s">
        <v>437</v>
      </c>
      <c r="E150" s="5" t="s">
        <v>438</v>
      </c>
      <c r="F150" s="6">
        <v>43542</v>
      </c>
      <c r="G150" s="5"/>
      <c r="H150" s="5" t="s">
        <v>176</v>
      </c>
      <c r="I150" s="5" t="s">
        <v>177</v>
      </c>
      <c r="J150" s="5" t="s">
        <v>33</v>
      </c>
      <c r="K150" s="7">
        <v>7027457.9100000001</v>
      </c>
      <c r="L150" s="8">
        <v>1264942.44</v>
      </c>
      <c r="M150" s="9">
        <f t="shared" si="2"/>
        <v>8292400.3499999996</v>
      </c>
      <c r="N150" s="5" t="s">
        <v>53</v>
      </c>
    </row>
    <row r="151" spans="1:14">
      <c r="A151" s="3" t="s">
        <v>27</v>
      </c>
      <c r="B151" s="4">
        <v>24963</v>
      </c>
      <c r="C151" s="5" t="s">
        <v>68</v>
      </c>
      <c r="D151" s="5" t="s">
        <v>439</v>
      </c>
      <c r="E151" s="5" t="s">
        <v>440</v>
      </c>
      <c r="F151" s="6">
        <v>43542</v>
      </c>
      <c r="G151" s="5"/>
      <c r="H151" s="5" t="s">
        <v>176</v>
      </c>
      <c r="I151" s="5" t="s">
        <v>177</v>
      </c>
      <c r="J151" s="5" t="s">
        <v>33</v>
      </c>
      <c r="K151" s="7">
        <v>7115195.7300000004</v>
      </c>
      <c r="L151" s="8">
        <v>1280735.22</v>
      </c>
      <c r="M151" s="9">
        <f t="shared" si="2"/>
        <v>8395930.9500000011</v>
      </c>
      <c r="N151" s="5" t="s">
        <v>53</v>
      </c>
    </row>
    <row r="152" spans="1:14">
      <c r="A152" s="3" t="s">
        <v>27</v>
      </c>
      <c r="B152" s="4">
        <v>17537</v>
      </c>
      <c r="C152" s="5" t="s">
        <v>441</v>
      </c>
      <c r="D152" s="5" t="s">
        <v>442</v>
      </c>
      <c r="E152" s="5" t="s">
        <v>443</v>
      </c>
      <c r="F152" s="6">
        <v>43544</v>
      </c>
      <c r="G152" s="5"/>
      <c r="H152" s="5" t="s">
        <v>176</v>
      </c>
      <c r="I152" s="5" t="s">
        <v>177</v>
      </c>
      <c r="J152" s="5" t="s">
        <v>33</v>
      </c>
      <c r="K152" s="7">
        <v>84000</v>
      </c>
      <c r="L152" s="8">
        <v>15120</v>
      </c>
      <c r="M152" s="9">
        <f t="shared" si="2"/>
        <v>99120</v>
      </c>
      <c r="N152" s="5" t="s">
        <v>34</v>
      </c>
    </row>
    <row r="153" spans="1:14">
      <c r="A153" s="3" t="s">
        <v>27</v>
      </c>
      <c r="B153" s="4">
        <v>26248</v>
      </c>
      <c r="C153" s="5" t="s">
        <v>284</v>
      </c>
      <c r="D153" s="5" t="s">
        <v>444</v>
      </c>
      <c r="E153" s="5" t="s">
        <v>445</v>
      </c>
      <c r="F153" s="6">
        <v>43544</v>
      </c>
      <c r="G153" s="5"/>
      <c r="H153" s="5" t="s">
        <v>176</v>
      </c>
      <c r="I153" s="5" t="s">
        <v>177</v>
      </c>
      <c r="J153" s="5" t="s">
        <v>33</v>
      </c>
      <c r="K153" s="7">
        <v>1429106.38</v>
      </c>
      <c r="L153" s="8">
        <v>224284.5</v>
      </c>
      <c r="M153" s="9">
        <f t="shared" si="2"/>
        <v>1653390.88</v>
      </c>
      <c r="N153" s="5" t="s">
        <v>34</v>
      </c>
    </row>
    <row r="154" spans="1:14">
      <c r="A154" s="3" t="s">
        <v>27</v>
      </c>
      <c r="B154" s="4">
        <v>24746</v>
      </c>
      <c r="C154" s="5" t="s">
        <v>158</v>
      </c>
      <c r="D154" s="5" t="s">
        <v>446</v>
      </c>
      <c r="E154" s="5" t="s">
        <v>447</v>
      </c>
      <c r="F154" s="6">
        <v>43546</v>
      </c>
      <c r="G154" s="5"/>
      <c r="H154" s="5" t="s">
        <v>176</v>
      </c>
      <c r="I154" s="5" t="s">
        <v>177</v>
      </c>
      <c r="J154" s="5" t="s">
        <v>33</v>
      </c>
      <c r="K154" s="7">
        <v>23961.88</v>
      </c>
      <c r="L154" s="8">
        <v>4313.1400000000003</v>
      </c>
      <c r="M154" s="9">
        <f t="shared" si="2"/>
        <v>28275.02</v>
      </c>
      <c r="N154" s="5" t="s">
        <v>34</v>
      </c>
    </row>
    <row r="155" spans="1:14">
      <c r="A155" s="3" t="s">
        <v>27</v>
      </c>
      <c r="B155" s="4">
        <v>16755</v>
      </c>
      <c r="C155" s="5" t="s">
        <v>420</v>
      </c>
      <c r="D155" s="5" t="s">
        <v>448</v>
      </c>
      <c r="E155" s="5" t="s">
        <v>449</v>
      </c>
      <c r="F155" s="6">
        <v>43549</v>
      </c>
      <c r="G155" s="5"/>
      <c r="H155" s="5" t="s">
        <v>176</v>
      </c>
      <c r="I155" s="5" t="s">
        <v>177</v>
      </c>
      <c r="J155" s="5" t="s">
        <v>33</v>
      </c>
      <c r="K155" s="7">
        <v>855000</v>
      </c>
      <c r="L155" s="8">
        <v>153900</v>
      </c>
      <c r="M155" s="9">
        <f t="shared" si="2"/>
        <v>1008900</v>
      </c>
      <c r="N155" s="5" t="s">
        <v>34</v>
      </c>
    </row>
    <row r="156" spans="1:14">
      <c r="A156" s="3" t="s">
        <v>27</v>
      </c>
      <c r="B156" s="4">
        <v>17537</v>
      </c>
      <c r="C156" s="5" t="s">
        <v>441</v>
      </c>
      <c r="D156" s="5" t="s">
        <v>450</v>
      </c>
      <c r="E156" s="5" t="s">
        <v>451</v>
      </c>
      <c r="F156" s="6">
        <v>43550</v>
      </c>
      <c r="G156" s="5"/>
      <c r="H156" s="5" t="s">
        <v>176</v>
      </c>
      <c r="I156" s="5" t="s">
        <v>177</v>
      </c>
      <c r="J156" s="5" t="s">
        <v>33</v>
      </c>
      <c r="K156" s="7">
        <v>148250</v>
      </c>
      <c r="L156" s="8">
        <v>26685</v>
      </c>
      <c r="M156" s="9">
        <f t="shared" si="2"/>
        <v>174935</v>
      </c>
      <c r="N156" s="5" t="s">
        <v>34</v>
      </c>
    </row>
    <row r="157" spans="1:14">
      <c r="A157" s="3" t="s">
        <v>27</v>
      </c>
      <c r="B157" s="4">
        <v>22432</v>
      </c>
      <c r="C157" s="5" t="s">
        <v>328</v>
      </c>
      <c r="D157" s="5" t="s">
        <v>452</v>
      </c>
      <c r="E157" s="5" t="s">
        <v>453</v>
      </c>
      <c r="F157" s="6">
        <v>43551</v>
      </c>
      <c r="G157" s="5"/>
      <c r="H157" s="5" t="s">
        <v>176</v>
      </c>
      <c r="I157" s="5" t="s">
        <v>177</v>
      </c>
      <c r="J157" s="5" t="s">
        <v>33</v>
      </c>
      <c r="K157" s="7">
        <v>114750</v>
      </c>
      <c r="L157" s="8">
        <v>20655</v>
      </c>
      <c r="M157" s="9">
        <f t="shared" si="2"/>
        <v>135405</v>
      </c>
      <c r="N157" s="5" t="s">
        <v>34</v>
      </c>
    </row>
    <row r="158" spans="1:14">
      <c r="A158" s="3" t="s">
        <v>27</v>
      </c>
      <c r="B158" s="4">
        <v>1469</v>
      </c>
      <c r="C158" s="5" t="s">
        <v>454</v>
      </c>
      <c r="D158" s="5" t="s">
        <v>455</v>
      </c>
      <c r="E158" s="5" t="s">
        <v>456</v>
      </c>
      <c r="F158" s="6">
        <v>43552</v>
      </c>
      <c r="G158" s="5"/>
      <c r="H158" s="5" t="s">
        <v>176</v>
      </c>
      <c r="I158" s="5" t="s">
        <v>177</v>
      </c>
      <c r="J158" s="5" t="s">
        <v>33</v>
      </c>
      <c r="K158" s="7">
        <v>980000</v>
      </c>
      <c r="L158" s="8">
        <v>176400</v>
      </c>
      <c r="M158" s="9">
        <f t="shared" si="2"/>
        <v>1156400</v>
      </c>
      <c r="N158" s="5" t="s">
        <v>34</v>
      </c>
    </row>
    <row r="159" spans="1:14">
      <c r="A159" s="3" t="s">
        <v>27</v>
      </c>
      <c r="B159" s="4">
        <v>26243</v>
      </c>
      <c r="C159" s="5" t="s">
        <v>328</v>
      </c>
      <c r="D159" s="5" t="s">
        <v>457</v>
      </c>
      <c r="E159" s="5" t="s">
        <v>458</v>
      </c>
      <c r="F159" s="6">
        <v>43554</v>
      </c>
      <c r="G159" s="5"/>
      <c r="H159" s="5" t="s">
        <v>176</v>
      </c>
      <c r="I159" s="5" t="s">
        <v>177</v>
      </c>
      <c r="J159" s="5" t="s">
        <v>33</v>
      </c>
      <c r="K159" s="7">
        <v>241406.55</v>
      </c>
      <c r="L159" s="8">
        <v>43453.22</v>
      </c>
      <c r="M159" s="9">
        <f t="shared" si="2"/>
        <v>284859.77</v>
      </c>
      <c r="N159" s="5" t="s">
        <v>34</v>
      </c>
    </row>
    <row r="160" spans="1:14">
      <c r="A160" s="3" t="s">
        <v>27</v>
      </c>
      <c r="B160" s="4">
        <v>3655</v>
      </c>
      <c r="C160" s="5" t="s">
        <v>377</v>
      </c>
      <c r="D160" s="5" t="s">
        <v>459</v>
      </c>
      <c r="E160" s="5" t="s">
        <v>460</v>
      </c>
      <c r="F160" s="6">
        <v>43554</v>
      </c>
      <c r="G160" s="5"/>
      <c r="H160" s="5" t="s">
        <v>176</v>
      </c>
      <c r="I160" s="5" t="s">
        <v>177</v>
      </c>
      <c r="J160" s="5" t="s">
        <v>33</v>
      </c>
      <c r="K160" s="7">
        <v>1022767.54</v>
      </c>
      <c r="L160" s="8">
        <v>184098.15</v>
      </c>
      <c r="M160" s="9">
        <f t="shared" si="2"/>
        <v>1206865.69</v>
      </c>
      <c r="N160" s="5" t="s">
        <v>34</v>
      </c>
    </row>
    <row r="161" spans="1:14">
      <c r="A161" s="3" t="s">
        <v>27</v>
      </c>
      <c r="B161" s="4">
        <v>20995</v>
      </c>
      <c r="C161" s="5" t="s">
        <v>380</v>
      </c>
      <c r="D161" s="5" t="s">
        <v>461</v>
      </c>
      <c r="E161" s="5" t="s">
        <v>462</v>
      </c>
      <c r="F161" s="6">
        <v>43554</v>
      </c>
      <c r="G161" s="5"/>
      <c r="H161" s="5" t="s">
        <v>176</v>
      </c>
      <c r="I161" s="5" t="s">
        <v>177</v>
      </c>
      <c r="J161" s="5" t="s">
        <v>33</v>
      </c>
      <c r="K161" s="7">
        <v>2447056</v>
      </c>
      <c r="L161" s="8">
        <v>440470.08</v>
      </c>
      <c r="M161" s="9">
        <f t="shared" si="2"/>
        <v>2887526.08</v>
      </c>
      <c r="N161" s="5" t="s">
        <v>34</v>
      </c>
    </row>
    <row r="162" spans="1:14">
      <c r="A162" s="3" t="s">
        <v>27</v>
      </c>
      <c r="B162" s="4">
        <v>12616</v>
      </c>
      <c r="C162" s="5" t="s">
        <v>334</v>
      </c>
      <c r="D162" s="5" t="s">
        <v>463</v>
      </c>
      <c r="E162" s="5" t="s">
        <v>464</v>
      </c>
      <c r="F162" s="6">
        <v>43559</v>
      </c>
      <c r="G162" s="5"/>
      <c r="H162" s="5" t="s">
        <v>176</v>
      </c>
      <c r="I162" s="5" t="s">
        <v>177</v>
      </c>
      <c r="J162" s="5" t="s">
        <v>33</v>
      </c>
      <c r="K162" s="7">
        <v>4588084.93</v>
      </c>
      <c r="L162" s="8">
        <v>228822.68</v>
      </c>
      <c r="M162" s="9">
        <f t="shared" si="2"/>
        <v>4816907.6099999994</v>
      </c>
      <c r="N162" s="5" t="s">
        <v>34</v>
      </c>
    </row>
    <row r="163" spans="1:14">
      <c r="A163" s="3" t="s">
        <v>27</v>
      </c>
      <c r="B163" s="4">
        <v>16755</v>
      </c>
      <c r="C163" s="5" t="s">
        <v>420</v>
      </c>
      <c r="D163" s="5" t="s">
        <v>465</v>
      </c>
      <c r="E163" s="5" t="s">
        <v>466</v>
      </c>
      <c r="F163" s="6">
        <v>43559</v>
      </c>
      <c r="G163" s="5"/>
      <c r="H163" s="5" t="s">
        <v>176</v>
      </c>
      <c r="I163" s="5" t="s">
        <v>177</v>
      </c>
      <c r="J163" s="5" t="s">
        <v>33</v>
      </c>
      <c r="K163" s="7">
        <v>1357300</v>
      </c>
      <c r="L163" s="8">
        <v>244314</v>
      </c>
      <c r="M163" s="9">
        <f t="shared" si="2"/>
        <v>1601614</v>
      </c>
      <c r="N163" s="5" t="s">
        <v>34</v>
      </c>
    </row>
    <row r="164" spans="1:14">
      <c r="A164" s="3" t="s">
        <v>27</v>
      </c>
      <c r="B164" s="4">
        <v>21724</v>
      </c>
      <c r="C164" s="5" t="s">
        <v>406</v>
      </c>
      <c r="D164" s="5" t="s">
        <v>467</v>
      </c>
      <c r="E164" s="5" t="s">
        <v>468</v>
      </c>
      <c r="F164" s="6">
        <v>43559</v>
      </c>
      <c r="G164" s="5"/>
      <c r="H164" s="5" t="s">
        <v>176</v>
      </c>
      <c r="I164" s="5" t="s">
        <v>177</v>
      </c>
      <c r="J164" s="5" t="s">
        <v>33</v>
      </c>
      <c r="K164" s="7">
        <v>1747200</v>
      </c>
      <c r="L164" s="8">
        <v>314496</v>
      </c>
      <c r="M164" s="9">
        <f t="shared" si="2"/>
        <v>2061696</v>
      </c>
      <c r="N164" s="5" t="s">
        <v>34</v>
      </c>
    </row>
    <row r="165" spans="1:14">
      <c r="A165" s="3" t="s">
        <v>27</v>
      </c>
      <c r="B165" s="4">
        <v>24883</v>
      </c>
      <c r="C165" s="5" t="s">
        <v>469</v>
      </c>
      <c r="D165" s="5" t="s">
        <v>470</v>
      </c>
      <c r="E165" s="5" t="s">
        <v>471</v>
      </c>
      <c r="F165" s="6">
        <v>43560</v>
      </c>
      <c r="G165" s="5"/>
      <c r="H165" s="5" t="s">
        <v>176</v>
      </c>
      <c r="I165" s="5" t="s">
        <v>177</v>
      </c>
      <c r="J165" s="5" t="s">
        <v>33</v>
      </c>
      <c r="K165" s="7">
        <v>228900</v>
      </c>
      <c r="L165" s="8">
        <v>41202</v>
      </c>
      <c r="M165" s="9">
        <f t="shared" si="2"/>
        <v>270102</v>
      </c>
      <c r="N165" s="5" t="s">
        <v>34</v>
      </c>
    </row>
    <row r="166" spans="1:14">
      <c r="A166" s="3" t="s">
        <v>27</v>
      </c>
      <c r="B166" s="4">
        <v>3464</v>
      </c>
      <c r="C166" s="5" t="s">
        <v>472</v>
      </c>
      <c r="D166" s="11" t="s">
        <v>473</v>
      </c>
      <c r="E166" s="5"/>
      <c r="F166" s="6">
        <v>43573</v>
      </c>
      <c r="G166" s="5"/>
      <c r="H166" s="5" t="s">
        <v>411</v>
      </c>
      <c r="I166" s="5" t="s">
        <v>177</v>
      </c>
      <c r="J166" s="5" t="s">
        <v>33</v>
      </c>
      <c r="K166" s="7">
        <v>219680</v>
      </c>
      <c r="L166" s="8">
        <v>39542.400000000001</v>
      </c>
      <c r="M166" s="9">
        <f t="shared" si="2"/>
        <v>259222.39999999999</v>
      </c>
      <c r="N166" s="5" t="s">
        <v>474</v>
      </c>
    </row>
    <row r="167" spans="1:14">
      <c r="A167" s="3" t="s">
        <v>27</v>
      </c>
      <c r="B167" s="4">
        <v>12616</v>
      </c>
      <c r="C167" s="5" t="s">
        <v>334</v>
      </c>
      <c r="D167" s="5" t="s">
        <v>475</v>
      </c>
      <c r="E167" s="5" t="s">
        <v>476</v>
      </c>
      <c r="F167" s="6">
        <v>43575</v>
      </c>
      <c r="G167" s="5"/>
      <c r="H167" s="5" t="s">
        <v>176</v>
      </c>
      <c r="I167" s="5" t="s">
        <v>177</v>
      </c>
      <c r="J167" s="5" t="s">
        <v>33</v>
      </c>
      <c r="K167" s="7">
        <v>41520</v>
      </c>
      <c r="L167" s="8">
        <v>7473.6</v>
      </c>
      <c r="M167" s="9">
        <f t="shared" si="2"/>
        <v>48993.599999999999</v>
      </c>
      <c r="N167" s="5" t="s">
        <v>34</v>
      </c>
    </row>
    <row r="168" spans="1:14">
      <c r="A168" s="3" t="s">
        <v>27</v>
      </c>
      <c r="B168" s="4">
        <v>18867</v>
      </c>
      <c r="C168" s="5" t="s">
        <v>388</v>
      </c>
      <c r="D168" s="5" t="s">
        <v>477</v>
      </c>
      <c r="E168" s="5" t="s">
        <v>478</v>
      </c>
      <c r="F168" s="6">
        <v>43579</v>
      </c>
      <c r="G168" s="5"/>
      <c r="H168" s="5" t="s">
        <v>176</v>
      </c>
      <c r="I168" s="5" t="s">
        <v>177</v>
      </c>
      <c r="J168" s="5" t="s">
        <v>33</v>
      </c>
      <c r="K168" s="7">
        <v>1714885</v>
      </c>
      <c r="L168" s="8">
        <v>308679.3</v>
      </c>
      <c r="M168" s="9">
        <f t="shared" si="2"/>
        <v>2023564.3</v>
      </c>
      <c r="N168" s="5" t="s">
        <v>34</v>
      </c>
    </row>
    <row r="169" spans="1:14">
      <c r="A169" s="3" t="s">
        <v>27</v>
      </c>
      <c r="B169" s="4">
        <v>15748</v>
      </c>
      <c r="C169" s="5" t="s">
        <v>417</v>
      </c>
      <c r="D169" s="5" t="s">
        <v>479</v>
      </c>
      <c r="E169" s="5" t="s">
        <v>480</v>
      </c>
      <c r="F169" s="6">
        <v>43580</v>
      </c>
      <c r="G169" s="5"/>
      <c r="H169" s="5" t="s">
        <v>31</v>
      </c>
      <c r="I169" s="5" t="s">
        <v>32</v>
      </c>
      <c r="J169" s="5" t="s">
        <v>33</v>
      </c>
      <c r="K169" s="7">
        <v>3375000</v>
      </c>
      <c r="L169" s="8">
        <v>405000</v>
      </c>
      <c r="M169" s="9">
        <f t="shared" si="2"/>
        <v>3780000</v>
      </c>
      <c r="N169" s="5" t="s">
        <v>34</v>
      </c>
    </row>
    <row r="170" spans="1:14">
      <c r="A170" s="3" t="s">
        <v>27</v>
      </c>
      <c r="B170" s="4">
        <v>26248</v>
      </c>
      <c r="C170" s="5" t="s">
        <v>284</v>
      </c>
      <c r="D170" s="5" t="s">
        <v>481</v>
      </c>
      <c r="E170" s="5" t="s">
        <v>482</v>
      </c>
      <c r="F170" s="6">
        <v>43581</v>
      </c>
      <c r="G170" s="5"/>
      <c r="H170" s="5" t="s">
        <v>176</v>
      </c>
      <c r="I170" s="5" t="s">
        <v>177</v>
      </c>
      <c r="J170" s="5" t="s">
        <v>33</v>
      </c>
      <c r="K170" s="7">
        <v>135000</v>
      </c>
      <c r="L170" s="8">
        <v>24300</v>
      </c>
      <c r="M170" s="9">
        <f t="shared" si="2"/>
        <v>159300</v>
      </c>
      <c r="N170" s="5" t="s">
        <v>34</v>
      </c>
    </row>
    <row r="171" spans="1:14">
      <c r="A171" s="3" t="s">
        <v>27</v>
      </c>
      <c r="B171" s="4">
        <v>22480</v>
      </c>
      <c r="C171" s="5" t="s">
        <v>241</v>
      </c>
      <c r="D171" s="5" t="s">
        <v>483</v>
      </c>
      <c r="E171" s="5" t="s">
        <v>484</v>
      </c>
      <c r="F171" s="6">
        <v>43581</v>
      </c>
      <c r="G171" s="5"/>
      <c r="H171" s="5" t="s">
        <v>176</v>
      </c>
      <c r="I171" s="5" t="s">
        <v>177</v>
      </c>
      <c r="J171" s="5" t="s">
        <v>33</v>
      </c>
      <c r="K171" s="7">
        <v>3985000</v>
      </c>
      <c r="L171" s="8">
        <v>717300</v>
      </c>
      <c r="M171" s="9">
        <f t="shared" si="2"/>
        <v>4702300</v>
      </c>
      <c r="N171" s="5" t="s">
        <v>34</v>
      </c>
    </row>
    <row r="172" spans="1:14">
      <c r="A172" s="3" t="s">
        <v>27</v>
      </c>
      <c r="B172" s="4">
        <v>1885</v>
      </c>
      <c r="C172" s="5" t="s">
        <v>340</v>
      </c>
      <c r="D172" s="11" t="s">
        <v>485</v>
      </c>
      <c r="E172" s="5"/>
      <c r="F172" s="6">
        <v>43584</v>
      </c>
      <c r="G172" s="5"/>
      <c r="H172" s="5" t="s">
        <v>411</v>
      </c>
      <c r="I172" s="5" t="s">
        <v>177</v>
      </c>
      <c r="J172" s="5" t="s">
        <v>33</v>
      </c>
      <c r="K172" s="7">
        <v>99950</v>
      </c>
      <c r="L172" s="8">
        <v>17991</v>
      </c>
      <c r="M172" s="9">
        <f t="shared" si="2"/>
        <v>117941</v>
      </c>
      <c r="N172" s="5" t="s">
        <v>474</v>
      </c>
    </row>
    <row r="173" spans="1:14">
      <c r="A173" s="3" t="s">
        <v>27</v>
      </c>
      <c r="B173" s="4">
        <v>1885</v>
      </c>
      <c r="C173" s="5" t="s">
        <v>340</v>
      </c>
      <c r="D173" s="5" t="s">
        <v>486</v>
      </c>
      <c r="E173" s="5" t="s">
        <v>487</v>
      </c>
      <c r="F173" s="6">
        <v>43585</v>
      </c>
      <c r="G173" s="5"/>
      <c r="H173" s="5" t="s">
        <v>176</v>
      </c>
      <c r="I173" s="5" t="s">
        <v>177</v>
      </c>
      <c r="J173" s="5" t="s">
        <v>33</v>
      </c>
      <c r="K173" s="7">
        <v>1557144</v>
      </c>
      <c r="L173" s="8">
        <v>280285.92</v>
      </c>
      <c r="M173" s="9">
        <f t="shared" si="2"/>
        <v>1837429.92</v>
      </c>
      <c r="N173" s="5" t="s">
        <v>34</v>
      </c>
    </row>
    <row r="174" spans="1:14">
      <c r="A174" s="3" t="s">
        <v>27</v>
      </c>
      <c r="B174" s="4">
        <v>5921</v>
      </c>
      <c r="C174" s="5" t="s">
        <v>488</v>
      </c>
      <c r="D174" s="5" t="s">
        <v>489</v>
      </c>
      <c r="E174" s="5" t="s">
        <v>490</v>
      </c>
      <c r="F174" s="6">
        <v>43587</v>
      </c>
      <c r="G174" s="5"/>
      <c r="H174" s="5" t="s">
        <v>176</v>
      </c>
      <c r="I174" s="5" t="s">
        <v>177</v>
      </c>
      <c r="J174" s="5" t="s">
        <v>33</v>
      </c>
      <c r="K174" s="7">
        <v>600000</v>
      </c>
      <c r="L174" s="8">
        <v>108000</v>
      </c>
      <c r="M174" s="9">
        <f t="shared" si="2"/>
        <v>708000</v>
      </c>
      <c r="N174" s="5" t="s">
        <v>34</v>
      </c>
    </row>
    <row r="175" spans="1:14">
      <c r="A175" s="3" t="s">
        <v>27</v>
      </c>
      <c r="B175" s="4">
        <v>3655</v>
      </c>
      <c r="C175" s="5" t="s">
        <v>377</v>
      </c>
      <c r="D175" s="5" t="s">
        <v>491</v>
      </c>
      <c r="E175" s="5" t="s">
        <v>492</v>
      </c>
      <c r="F175" s="6">
        <v>43591</v>
      </c>
      <c r="G175" s="5"/>
      <c r="H175" s="5" t="s">
        <v>176</v>
      </c>
      <c r="I175" s="5" t="s">
        <v>177</v>
      </c>
      <c r="J175" s="5" t="s">
        <v>33</v>
      </c>
      <c r="K175" s="7">
        <v>923500</v>
      </c>
      <c r="L175" s="8">
        <v>166230</v>
      </c>
      <c r="M175" s="9">
        <f t="shared" si="2"/>
        <v>1089730</v>
      </c>
      <c r="N175" s="5" t="s">
        <v>34</v>
      </c>
    </row>
    <row r="176" spans="1:14">
      <c r="A176" s="3" t="s">
        <v>27</v>
      </c>
      <c r="B176" s="4">
        <v>26782</v>
      </c>
      <c r="C176" s="5" t="s">
        <v>409</v>
      </c>
      <c r="D176" s="5" t="s">
        <v>493</v>
      </c>
      <c r="E176" s="5" t="s">
        <v>494</v>
      </c>
      <c r="F176" s="6">
        <v>43592</v>
      </c>
      <c r="G176" s="5"/>
      <c r="H176" s="5" t="s">
        <v>31</v>
      </c>
      <c r="I176" s="5" t="s">
        <v>32</v>
      </c>
      <c r="J176" s="5" t="s">
        <v>33</v>
      </c>
      <c r="K176" s="7">
        <v>199520</v>
      </c>
      <c r="L176" s="8">
        <v>35913.599999999999</v>
      </c>
      <c r="M176" s="9">
        <f t="shared" si="2"/>
        <v>235433.60000000001</v>
      </c>
      <c r="N176" s="5" t="s">
        <v>47</v>
      </c>
    </row>
    <row r="177" spans="1:14">
      <c r="A177" s="3" t="s">
        <v>27</v>
      </c>
      <c r="B177" s="4">
        <v>16755</v>
      </c>
      <c r="C177" s="5" t="s">
        <v>420</v>
      </c>
      <c r="D177" s="5" t="s">
        <v>495</v>
      </c>
      <c r="E177" s="5" t="s">
        <v>496</v>
      </c>
      <c r="F177" s="6">
        <v>43595</v>
      </c>
      <c r="G177" s="5"/>
      <c r="H177" s="5" t="s">
        <v>176</v>
      </c>
      <c r="I177" s="5" t="s">
        <v>177</v>
      </c>
      <c r="J177" s="5" t="s">
        <v>33</v>
      </c>
      <c r="K177" s="7">
        <v>1488578.861</v>
      </c>
      <c r="L177" s="8">
        <v>267944.21999999997</v>
      </c>
      <c r="M177" s="9">
        <f t="shared" si="2"/>
        <v>1756523.081</v>
      </c>
      <c r="N177" s="5" t="s">
        <v>34</v>
      </c>
    </row>
    <row r="178" spans="1:14">
      <c r="A178" s="3" t="s">
        <v>27</v>
      </c>
      <c r="B178" s="4">
        <v>25629</v>
      </c>
      <c r="C178" s="5" t="s">
        <v>318</v>
      </c>
      <c r="D178" s="5" t="s">
        <v>497</v>
      </c>
      <c r="E178" s="5" t="s">
        <v>498</v>
      </c>
      <c r="F178" s="6">
        <v>43601</v>
      </c>
      <c r="G178" s="5"/>
      <c r="H178" s="5" t="s">
        <v>164</v>
      </c>
      <c r="I178" s="5" t="s">
        <v>165</v>
      </c>
      <c r="J178" s="5" t="s">
        <v>33</v>
      </c>
      <c r="K178" s="7">
        <v>5988</v>
      </c>
      <c r="L178" s="8">
        <v>1077.8399999999999</v>
      </c>
      <c r="M178" s="9">
        <f t="shared" si="2"/>
        <v>7065.84</v>
      </c>
      <c r="N178" s="5" t="s">
        <v>53</v>
      </c>
    </row>
    <row r="179" spans="1:14">
      <c r="A179" s="3" t="s">
        <v>27</v>
      </c>
      <c r="B179" s="4">
        <v>27732</v>
      </c>
      <c r="C179" s="5" t="s">
        <v>499</v>
      </c>
      <c r="D179" s="5" t="s">
        <v>500</v>
      </c>
      <c r="E179" s="5" t="s">
        <v>501</v>
      </c>
      <c r="F179" s="6">
        <v>43602</v>
      </c>
      <c r="G179" s="5"/>
      <c r="H179" s="5" t="s">
        <v>31</v>
      </c>
      <c r="I179" s="5" t="s">
        <v>32</v>
      </c>
      <c r="J179" s="5" t="s">
        <v>33</v>
      </c>
      <c r="K179" s="7">
        <v>52000</v>
      </c>
      <c r="L179" s="10"/>
      <c r="M179" s="9">
        <f t="shared" si="2"/>
        <v>52000</v>
      </c>
      <c r="N179" s="5" t="s">
        <v>47</v>
      </c>
    </row>
    <row r="180" spans="1:14">
      <c r="A180" s="3" t="s">
        <v>27</v>
      </c>
      <c r="B180" s="4">
        <v>26248</v>
      </c>
      <c r="C180" s="5" t="s">
        <v>284</v>
      </c>
      <c r="D180" s="5" t="s">
        <v>502</v>
      </c>
      <c r="E180" s="5" t="s">
        <v>503</v>
      </c>
      <c r="F180" s="6">
        <v>43605</v>
      </c>
      <c r="G180" s="5"/>
      <c r="H180" s="5" t="s">
        <v>176</v>
      </c>
      <c r="I180" s="5" t="s">
        <v>177</v>
      </c>
      <c r="J180" s="5" t="s">
        <v>33</v>
      </c>
      <c r="K180" s="7">
        <v>2180410.5</v>
      </c>
      <c r="L180" s="8">
        <v>392473.9</v>
      </c>
      <c r="M180" s="9">
        <f t="shared" si="2"/>
        <v>2572884.4</v>
      </c>
      <c r="N180" s="5" t="s">
        <v>34</v>
      </c>
    </row>
    <row r="181" spans="1:14">
      <c r="A181" s="3" t="s">
        <v>27</v>
      </c>
      <c r="B181" s="4">
        <v>19474</v>
      </c>
      <c r="C181" s="5" t="s">
        <v>504</v>
      </c>
      <c r="D181" s="5" t="s">
        <v>505</v>
      </c>
      <c r="E181" s="5" t="s">
        <v>506</v>
      </c>
      <c r="F181" s="6">
        <v>43606</v>
      </c>
      <c r="G181" s="5"/>
      <c r="H181" s="5" t="s">
        <v>164</v>
      </c>
      <c r="I181" s="5" t="s">
        <v>165</v>
      </c>
      <c r="J181" s="5" t="s">
        <v>33</v>
      </c>
      <c r="K181" s="7">
        <v>4200</v>
      </c>
      <c r="L181" s="8">
        <v>756</v>
      </c>
      <c r="M181" s="9">
        <f t="shared" si="2"/>
        <v>4956</v>
      </c>
      <c r="N181" s="5" t="s">
        <v>53</v>
      </c>
    </row>
    <row r="182" spans="1:14">
      <c r="A182" s="3" t="s">
        <v>27</v>
      </c>
      <c r="B182" s="4">
        <v>26248</v>
      </c>
      <c r="C182" s="5" t="s">
        <v>284</v>
      </c>
      <c r="D182" s="5" t="s">
        <v>507</v>
      </c>
      <c r="E182" s="5" t="s">
        <v>508</v>
      </c>
      <c r="F182" s="6">
        <v>43614</v>
      </c>
      <c r="G182" s="5"/>
      <c r="H182" s="5" t="s">
        <v>176</v>
      </c>
      <c r="I182" s="5" t="s">
        <v>177</v>
      </c>
      <c r="J182" s="5" t="s">
        <v>33</v>
      </c>
      <c r="K182" s="7">
        <v>1521400</v>
      </c>
      <c r="L182" s="8">
        <v>273852</v>
      </c>
      <c r="M182" s="9">
        <f t="shared" si="2"/>
        <v>1795252</v>
      </c>
      <c r="N182" s="5" t="s">
        <v>34</v>
      </c>
    </row>
    <row r="183" spans="1:14">
      <c r="A183" s="3" t="s">
        <v>27</v>
      </c>
      <c r="B183" s="4">
        <v>27772</v>
      </c>
      <c r="C183" s="5" t="s">
        <v>509</v>
      </c>
      <c r="D183" s="11" t="s">
        <v>510</v>
      </c>
      <c r="E183" s="5"/>
      <c r="F183" s="6">
        <v>43615</v>
      </c>
      <c r="G183" s="5"/>
      <c r="H183" s="5" t="s">
        <v>411</v>
      </c>
      <c r="I183" s="5" t="s">
        <v>177</v>
      </c>
      <c r="J183" s="5" t="s">
        <v>33</v>
      </c>
      <c r="K183" s="7">
        <v>640000</v>
      </c>
      <c r="L183" s="8">
        <v>115200</v>
      </c>
      <c r="M183" s="9">
        <f t="shared" si="2"/>
        <v>755200</v>
      </c>
      <c r="N183" s="5" t="s">
        <v>474</v>
      </c>
    </row>
    <row r="184" spans="1:14">
      <c r="A184" s="3" t="s">
        <v>27</v>
      </c>
      <c r="B184" s="4">
        <v>12615</v>
      </c>
      <c r="C184" s="5" t="s">
        <v>511</v>
      </c>
      <c r="D184" s="5" t="s">
        <v>512</v>
      </c>
      <c r="E184" s="5" t="s">
        <v>513</v>
      </c>
      <c r="F184" s="6">
        <v>43616</v>
      </c>
      <c r="G184" s="5"/>
      <c r="H184" s="5" t="s">
        <v>176</v>
      </c>
      <c r="I184" s="5" t="s">
        <v>177</v>
      </c>
      <c r="J184" s="5" t="s">
        <v>33</v>
      </c>
      <c r="K184" s="7">
        <v>1063065</v>
      </c>
      <c r="L184" s="8">
        <v>191351.7</v>
      </c>
      <c r="M184" s="9">
        <f t="shared" si="2"/>
        <v>1254416.7</v>
      </c>
      <c r="N184" s="5" t="s">
        <v>34</v>
      </c>
    </row>
    <row r="185" spans="1:14">
      <c r="A185" s="3" t="s">
        <v>27</v>
      </c>
      <c r="B185" s="4">
        <v>16755</v>
      </c>
      <c r="C185" s="5" t="s">
        <v>420</v>
      </c>
      <c r="D185" s="5" t="s">
        <v>514</v>
      </c>
      <c r="E185" s="5" t="s">
        <v>515</v>
      </c>
      <c r="F185" s="6">
        <v>43616</v>
      </c>
      <c r="G185" s="5"/>
      <c r="H185" s="5" t="s">
        <v>176</v>
      </c>
      <c r="I185" s="5" t="s">
        <v>177</v>
      </c>
      <c r="J185" s="5" t="s">
        <v>33</v>
      </c>
      <c r="K185" s="7">
        <v>2256910</v>
      </c>
      <c r="L185" s="8">
        <v>406243.8</v>
      </c>
      <c r="M185" s="9">
        <f t="shared" si="2"/>
        <v>2663153.7999999998</v>
      </c>
      <c r="N185" s="5" t="s">
        <v>34</v>
      </c>
    </row>
    <row r="186" spans="1:14">
      <c r="A186" s="3" t="s">
        <v>27</v>
      </c>
      <c r="B186" s="4">
        <v>2985</v>
      </c>
      <c r="C186" s="5" t="s">
        <v>181</v>
      </c>
      <c r="D186" s="11" t="s">
        <v>516</v>
      </c>
      <c r="E186" s="5" t="s">
        <v>517</v>
      </c>
      <c r="F186" s="6">
        <v>43618</v>
      </c>
      <c r="G186" s="5"/>
      <c r="H186" s="5" t="s">
        <v>247</v>
      </c>
      <c r="I186" s="11" t="s">
        <v>45</v>
      </c>
      <c r="J186" s="5" t="s">
        <v>46</v>
      </c>
      <c r="K186" s="7">
        <v>3815350</v>
      </c>
      <c r="L186" s="8">
        <v>611187.5</v>
      </c>
      <c r="M186" s="9">
        <f t="shared" si="2"/>
        <v>4426537.5</v>
      </c>
      <c r="N186" s="5" t="s">
        <v>47</v>
      </c>
    </row>
    <row r="187" spans="1:14">
      <c r="A187" s="3" t="s">
        <v>27</v>
      </c>
      <c r="B187" s="4">
        <v>18867</v>
      </c>
      <c r="C187" s="5" t="s">
        <v>388</v>
      </c>
      <c r="D187" s="5" t="s">
        <v>518</v>
      </c>
      <c r="E187" s="5" t="s">
        <v>519</v>
      </c>
      <c r="F187" s="6">
        <v>43619</v>
      </c>
      <c r="G187" s="5"/>
      <c r="H187" s="5" t="s">
        <v>176</v>
      </c>
      <c r="I187" s="5" t="s">
        <v>177</v>
      </c>
      <c r="J187" s="5" t="s">
        <v>33</v>
      </c>
      <c r="K187" s="7">
        <v>4427163</v>
      </c>
      <c r="L187" s="8">
        <v>796889.34</v>
      </c>
      <c r="M187" s="9">
        <f t="shared" si="2"/>
        <v>5224052.34</v>
      </c>
      <c r="N187" s="5" t="s">
        <v>34</v>
      </c>
    </row>
    <row r="188" spans="1:14">
      <c r="A188" s="3" t="s">
        <v>27</v>
      </c>
      <c r="B188" s="4">
        <v>26781</v>
      </c>
      <c r="C188" s="5" t="s">
        <v>224</v>
      </c>
      <c r="D188" s="5" t="s">
        <v>520</v>
      </c>
      <c r="E188" s="5" t="s">
        <v>521</v>
      </c>
      <c r="F188" s="6">
        <v>43619</v>
      </c>
      <c r="G188" s="5"/>
      <c r="H188" s="5" t="s">
        <v>176</v>
      </c>
      <c r="I188" s="5" t="s">
        <v>177</v>
      </c>
      <c r="J188" s="5" t="s">
        <v>33</v>
      </c>
      <c r="K188" s="7">
        <v>371200</v>
      </c>
      <c r="L188" s="8">
        <v>66816</v>
      </c>
      <c r="M188" s="9">
        <f t="shared" si="2"/>
        <v>438016</v>
      </c>
      <c r="N188" s="5" t="s">
        <v>34</v>
      </c>
    </row>
    <row r="189" spans="1:14">
      <c r="A189" s="3" t="s">
        <v>27</v>
      </c>
      <c r="B189" s="4">
        <v>22125</v>
      </c>
      <c r="C189" s="5" t="s">
        <v>522</v>
      </c>
      <c r="D189" s="5" t="s">
        <v>523</v>
      </c>
      <c r="E189" s="5" t="s">
        <v>524</v>
      </c>
      <c r="F189" s="6">
        <v>43620</v>
      </c>
      <c r="G189" s="5"/>
      <c r="H189" s="5" t="s">
        <v>176</v>
      </c>
      <c r="I189" s="5" t="s">
        <v>177</v>
      </c>
      <c r="J189" s="5" t="s">
        <v>33</v>
      </c>
      <c r="K189" s="7">
        <v>159000</v>
      </c>
      <c r="L189" s="8">
        <v>28620</v>
      </c>
      <c r="M189" s="9">
        <f t="shared" si="2"/>
        <v>187620</v>
      </c>
      <c r="N189" s="5" t="s">
        <v>34</v>
      </c>
    </row>
    <row r="190" spans="1:14">
      <c r="A190" s="3" t="s">
        <v>27</v>
      </c>
      <c r="B190" s="4">
        <v>1485</v>
      </c>
      <c r="C190" s="5" t="s">
        <v>525</v>
      </c>
      <c r="D190" s="5" t="s">
        <v>526</v>
      </c>
      <c r="E190" s="5" t="s">
        <v>527</v>
      </c>
      <c r="F190" s="6">
        <v>43620</v>
      </c>
      <c r="G190" s="5"/>
      <c r="H190" s="5" t="s">
        <v>176</v>
      </c>
      <c r="I190" s="5" t="s">
        <v>177</v>
      </c>
      <c r="J190" s="5" t="s">
        <v>33</v>
      </c>
      <c r="K190" s="7">
        <v>413173.64399999997</v>
      </c>
      <c r="L190" s="8">
        <v>74371.3</v>
      </c>
      <c r="M190" s="9">
        <f t="shared" si="2"/>
        <v>487544.94399999996</v>
      </c>
      <c r="N190" s="5" t="s">
        <v>34</v>
      </c>
    </row>
    <row r="191" spans="1:14">
      <c r="A191" s="3" t="s">
        <v>27</v>
      </c>
      <c r="B191" s="4">
        <v>24746</v>
      </c>
      <c r="C191" s="5" t="s">
        <v>158</v>
      </c>
      <c r="D191" s="5" t="s">
        <v>528</v>
      </c>
      <c r="E191" s="5" t="s">
        <v>529</v>
      </c>
      <c r="F191" s="6">
        <v>43620</v>
      </c>
      <c r="G191" s="5"/>
      <c r="H191" s="5" t="s">
        <v>176</v>
      </c>
      <c r="I191" s="5" t="s">
        <v>177</v>
      </c>
      <c r="J191" s="5" t="s">
        <v>33</v>
      </c>
      <c r="K191" s="7">
        <v>40000</v>
      </c>
      <c r="L191" s="8">
        <v>7200</v>
      </c>
      <c r="M191" s="9">
        <f t="shared" si="2"/>
        <v>47200</v>
      </c>
      <c r="N191" s="5" t="s">
        <v>34</v>
      </c>
    </row>
    <row r="192" spans="1:14">
      <c r="A192" s="3" t="s">
        <v>27</v>
      </c>
      <c r="B192" s="4">
        <v>20995</v>
      </c>
      <c r="C192" s="5" t="s">
        <v>380</v>
      </c>
      <c r="D192" s="5" t="s">
        <v>530</v>
      </c>
      <c r="E192" s="5" t="s">
        <v>531</v>
      </c>
      <c r="F192" s="6">
        <v>43620</v>
      </c>
      <c r="G192" s="5"/>
      <c r="H192" s="5" t="s">
        <v>176</v>
      </c>
      <c r="I192" s="5" t="s">
        <v>177</v>
      </c>
      <c r="J192" s="5" t="s">
        <v>33</v>
      </c>
      <c r="K192" s="7">
        <v>315733</v>
      </c>
      <c r="L192" s="8">
        <v>56831.94</v>
      </c>
      <c r="M192" s="9">
        <f t="shared" si="2"/>
        <v>372564.94</v>
      </c>
      <c r="N192" s="5" t="s">
        <v>34</v>
      </c>
    </row>
    <row r="193" spans="1:14">
      <c r="A193" s="3" t="s">
        <v>27</v>
      </c>
      <c r="B193" s="4">
        <v>26781</v>
      </c>
      <c r="C193" s="5" t="s">
        <v>224</v>
      </c>
      <c r="D193" s="5" t="s">
        <v>532</v>
      </c>
      <c r="E193" s="5" t="s">
        <v>533</v>
      </c>
      <c r="F193" s="6">
        <v>43620</v>
      </c>
      <c r="G193" s="5"/>
      <c r="H193" s="5" t="s">
        <v>176</v>
      </c>
      <c r="I193" s="5" t="s">
        <v>177</v>
      </c>
      <c r="J193" s="5" t="s">
        <v>33</v>
      </c>
      <c r="K193" s="7">
        <v>855794</v>
      </c>
      <c r="L193" s="8">
        <v>154042.92000000001</v>
      </c>
      <c r="M193" s="9">
        <f t="shared" si="2"/>
        <v>1009836.92</v>
      </c>
      <c r="N193" s="5" t="s">
        <v>34</v>
      </c>
    </row>
    <row r="194" spans="1:14">
      <c r="A194" s="3" t="s">
        <v>27</v>
      </c>
      <c r="B194" s="4">
        <v>27490</v>
      </c>
      <c r="C194" s="5" t="s">
        <v>385</v>
      </c>
      <c r="D194" s="5" t="s">
        <v>534</v>
      </c>
      <c r="E194" s="5" t="s">
        <v>535</v>
      </c>
      <c r="F194" s="6">
        <v>43620</v>
      </c>
      <c r="G194" s="5"/>
      <c r="H194" s="5" t="s">
        <v>176</v>
      </c>
      <c r="I194" s="5" t="s">
        <v>177</v>
      </c>
      <c r="J194" s="5" t="s">
        <v>33</v>
      </c>
      <c r="K194" s="7">
        <v>405445</v>
      </c>
      <c r="L194" s="8">
        <v>72980.100000000006</v>
      </c>
      <c r="M194" s="9">
        <f t="shared" ref="M194:M257" si="3">+K194+L194</f>
        <v>478425.1</v>
      </c>
      <c r="N194" s="5" t="s">
        <v>34</v>
      </c>
    </row>
    <row r="195" spans="1:14">
      <c r="A195" s="3" t="s">
        <v>27</v>
      </c>
      <c r="B195" s="4">
        <v>27490</v>
      </c>
      <c r="C195" s="5" t="s">
        <v>385</v>
      </c>
      <c r="D195" s="5" t="s">
        <v>536</v>
      </c>
      <c r="E195" s="5" t="s">
        <v>537</v>
      </c>
      <c r="F195" s="6">
        <v>43621</v>
      </c>
      <c r="G195" s="5"/>
      <c r="H195" s="5" t="s">
        <v>176</v>
      </c>
      <c r="I195" s="5" t="s">
        <v>177</v>
      </c>
      <c r="J195" s="5" t="s">
        <v>33</v>
      </c>
      <c r="K195" s="7">
        <v>660860</v>
      </c>
      <c r="L195" s="8">
        <v>118954.8</v>
      </c>
      <c r="M195" s="9">
        <f t="shared" si="3"/>
        <v>779814.8</v>
      </c>
      <c r="N195" s="5" t="s">
        <v>34</v>
      </c>
    </row>
    <row r="196" spans="1:14">
      <c r="A196" s="3" t="s">
        <v>27</v>
      </c>
      <c r="B196" s="4">
        <v>26781</v>
      </c>
      <c r="C196" s="5" t="s">
        <v>224</v>
      </c>
      <c r="D196" s="5" t="s">
        <v>538</v>
      </c>
      <c r="E196" s="5" t="s">
        <v>539</v>
      </c>
      <c r="F196" s="6">
        <v>43622</v>
      </c>
      <c r="G196" s="5"/>
      <c r="H196" s="5" t="s">
        <v>176</v>
      </c>
      <c r="I196" s="5" t="s">
        <v>177</v>
      </c>
      <c r="J196" s="5" t="s">
        <v>33</v>
      </c>
      <c r="K196" s="7">
        <v>111999.205</v>
      </c>
      <c r="L196" s="8">
        <v>20159.86</v>
      </c>
      <c r="M196" s="9">
        <f t="shared" si="3"/>
        <v>132159.065</v>
      </c>
      <c r="N196" s="5" t="s">
        <v>34</v>
      </c>
    </row>
    <row r="197" spans="1:14">
      <c r="A197" s="3" t="s">
        <v>27</v>
      </c>
      <c r="B197" s="4">
        <v>26248</v>
      </c>
      <c r="C197" s="5" t="s">
        <v>284</v>
      </c>
      <c r="D197" s="5" t="s">
        <v>540</v>
      </c>
      <c r="E197" s="5" t="s">
        <v>541</v>
      </c>
      <c r="F197" s="6">
        <v>43624</v>
      </c>
      <c r="G197" s="5"/>
      <c r="H197" s="5" t="s">
        <v>176</v>
      </c>
      <c r="I197" s="5" t="s">
        <v>177</v>
      </c>
      <c r="J197" s="5" t="s">
        <v>33</v>
      </c>
      <c r="K197" s="7">
        <v>9577710</v>
      </c>
      <c r="L197" s="8">
        <v>1723987.8</v>
      </c>
      <c r="M197" s="9">
        <f t="shared" si="3"/>
        <v>11301697.800000001</v>
      </c>
      <c r="N197" s="5" t="s">
        <v>34</v>
      </c>
    </row>
    <row r="198" spans="1:14">
      <c r="A198" s="3" t="s">
        <v>27</v>
      </c>
      <c r="B198" s="4">
        <v>18509</v>
      </c>
      <c r="C198" s="5" t="s">
        <v>542</v>
      </c>
      <c r="D198" s="5" t="s">
        <v>543</v>
      </c>
      <c r="E198" s="5" t="s">
        <v>544</v>
      </c>
      <c r="F198" s="6">
        <v>43626</v>
      </c>
      <c r="G198" s="5"/>
      <c r="H198" s="5" t="s">
        <v>176</v>
      </c>
      <c r="I198" s="5" t="s">
        <v>177</v>
      </c>
      <c r="J198" s="5" t="s">
        <v>33</v>
      </c>
      <c r="K198" s="7">
        <v>202400</v>
      </c>
      <c r="L198" s="8">
        <v>36432</v>
      </c>
      <c r="M198" s="9">
        <f t="shared" si="3"/>
        <v>238832</v>
      </c>
      <c r="N198" s="5" t="s">
        <v>34</v>
      </c>
    </row>
    <row r="199" spans="1:14">
      <c r="A199" s="3" t="s">
        <v>27</v>
      </c>
      <c r="B199" s="4">
        <v>24746</v>
      </c>
      <c r="C199" s="5" t="s">
        <v>158</v>
      </c>
      <c r="D199" s="5" t="s">
        <v>545</v>
      </c>
      <c r="E199" s="5" t="s">
        <v>546</v>
      </c>
      <c r="F199" s="6">
        <v>43629</v>
      </c>
      <c r="G199" s="5"/>
      <c r="H199" s="5" t="s">
        <v>176</v>
      </c>
      <c r="I199" s="5" t="s">
        <v>177</v>
      </c>
      <c r="J199" s="5" t="s">
        <v>33</v>
      </c>
      <c r="K199" s="7">
        <v>51600</v>
      </c>
      <c r="L199" s="8">
        <v>9288</v>
      </c>
      <c r="M199" s="9">
        <f t="shared" si="3"/>
        <v>60888</v>
      </c>
      <c r="N199" s="5" t="s">
        <v>34</v>
      </c>
    </row>
    <row r="200" spans="1:14">
      <c r="A200" s="3" t="s">
        <v>27</v>
      </c>
      <c r="B200" s="4">
        <v>23110</v>
      </c>
      <c r="C200" s="5" t="s">
        <v>58</v>
      </c>
      <c r="D200" s="5" t="s">
        <v>547</v>
      </c>
      <c r="E200" s="5" t="s">
        <v>548</v>
      </c>
      <c r="F200" s="6">
        <v>43630</v>
      </c>
      <c r="G200" s="5"/>
      <c r="H200" s="5" t="s">
        <v>176</v>
      </c>
      <c r="I200" s="5" t="s">
        <v>177</v>
      </c>
      <c r="J200" s="5" t="s">
        <v>33</v>
      </c>
      <c r="K200" s="7">
        <v>237949603.63</v>
      </c>
      <c r="L200" s="8">
        <v>42830928.700000003</v>
      </c>
      <c r="M200" s="9">
        <f t="shared" si="3"/>
        <v>280780532.32999998</v>
      </c>
      <c r="N200" s="5" t="s">
        <v>34</v>
      </c>
    </row>
    <row r="201" spans="1:14">
      <c r="A201" s="3" t="s">
        <v>27</v>
      </c>
      <c r="B201" s="4">
        <v>26248</v>
      </c>
      <c r="C201" s="5" t="s">
        <v>284</v>
      </c>
      <c r="D201" s="5" t="s">
        <v>549</v>
      </c>
      <c r="E201" s="5" t="s">
        <v>550</v>
      </c>
      <c r="F201" s="6">
        <v>43633</v>
      </c>
      <c r="G201" s="5"/>
      <c r="H201" s="5" t="s">
        <v>176</v>
      </c>
      <c r="I201" s="5" t="s">
        <v>177</v>
      </c>
      <c r="J201" s="5" t="s">
        <v>33</v>
      </c>
      <c r="K201" s="7">
        <v>382968.75</v>
      </c>
      <c r="L201" s="8">
        <v>68934.38</v>
      </c>
      <c r="M201" s="9">
        <f t="shared" si="3"/>
        <v>451903.13</v>
      </c>
      <c r="N201" s="5" t="s">
        <v>34</v>
      </c>
    </row>
    <row r="202" spans="1:14">
      <c r="A202" s="3" t="s">
        <v>27</v>
      </c>
      <c r="B202" s="4">
        <v>24746</v>
      </c>
      <c r="C202" s="5" t="s">
        <v>158</v>
      </c>
      <c r="D202" s="5" t="s">
        <v>551</v>
      </c>
      <c r="E202" s="5" t="s">
        <v>552</v>
      </c>
      <c r="F202" s="6">
        <v>43633</v>
      </c>
      <c r="G202" s="5"/>
      <c r="H202" s="5" t="s">
        <v>176</v>
      </c>
      <c r="I202" s="5" t="s">
        <v>177</v>
      </c>
      <c r="J202" s="5" t="s">
        <v>33</v>
      </c>
      <c r="K202" s="7">
        <v>574515</v>
      </c>
      <c r="L202" s="8">
        <v>103412.7</v>
      </c>
      <c r="M202" s="9">
        <f t="shared" si="3"/>
        <v>677927.7</v>
      </c>
      <c r="N202" s="5" t="s">
        <v>34</v>
      </c>
    </row>
    <row r="203" spans="1:14">
      <c r="A203" s="3" t="s">
        <v>27</v>
      </c>
      <c r="B203" s="4">
        <v>18560</v>
      </c>
      <c r="C203" s="5" t="s">
        <v>133</v>
      </c>
      <c r="D203" s="5" t="s">
        <v>553</v>
      </c>
      <c r="E203" s="5" t="s">
        <v>554</v>
      </c>
      <c r="F203" s="6">
        <v>43635</v>
      </c>
      <c r="G203" s="5"/>
      <c r="H203" s="5" t="s">
        <v>176</v>
      </c>
      <c r="I203" s="5" t="s">
        <v>177</v>
      </c>
      <c r="J203" s="5" t="s">
        <v>33</v>
      </c>
      <c r="K203" s="7">
        <v>185022</v>
      </c>
      <c r="L203" s="8">
        <v>33303.96</v>
      </c>
      <c r="M203" s="9">
        <f t="shared" si="3"/>
        <v>218325.96</v>
      </c>
      <c r="N203" s="5" t="s">
        <v>34</v>
      </c>
    </row>
    <row r="204" spans="1:14">
      <c r="A204" s="3" t="s">
        <v>27</v>
      </c>
      <c r="B204" s="4">
        <v>27806</v>
      </c>
      <c r="C204" s="5" t="s">
        <v>555</v>
      </c>
      <c r="D204" s="5" t="s">
        <v>556</v>
      </c>
      <c r="E204" s="5" t="s">
        <v>557</v>
      </c>
      <c r="F204" s="6">
        <v>43635</v>
      </c>
      <c r="G204" s="5"/>
      <c r="H204" s="5" t="s">
        <v>176</v>
      </c>
      <c r="I204" s="5" t="s">
        <v>177</v>
      </c>
      <c r="J204" s="5" t="s">
        <v>33</v>
      </c>
      <c r="K204" s="7">
        <v>662000</v>
      </c>
      <c r="L204" s="8">
        <v>119160</v>
      </c>
      <c r="M204" s="9">
        <f t="shared" si="3"/>
        <v>781160</v>
      </c>
      <c r="N204" s="5" t="s">
        <v>34</v>
      </c>
    </row>
    <row r="205" spans="1:14">
      <c r="A205" s="3" t="s">
        <v>27</v>
      </c>
      <c r="B205" s="4">
        <v>26790</v>
      </c>
      <c r="C205" s="5" t="s">
        <v>199</v>
      </c>
      <c r="D205" s="5" t="s">
        <v>558</v>
      </c>
      <c r="E205" s="5" t="s">
        <v>559</v>
      </c>
      <c r="F205" s="6">
        <v>43640</v>
      </c>
      <c r="G205" s="5"/>
      <c r="H205" s="5" t="s">
        <v>176</v>
      </c>
      <c r="I205" s="5" t="s">
        <v>177</v>
      </c>
      <c r="J205" s="5" t="s">
        <v>33</v>
      </c>
      <c r="K205" s="7">
        <v>8850000</v>
      </c>
      <c r="L205" s="8">
        <v>1593000</v>
      </c>
      <c r="M205" s="9">
        <f t="shared" si="3"/>
        <v>10443000</v>
      </c>
      <c r="N205" s="5" t="s">
        <v>34</v>
      </c>
    </row>
    <row r="206" spans="1:14">
      <c r="A206" s="3" t="s">
        <v>27</v>
      </c>
      <c r="B206" s="4">
        <v>22520</v>
      </c>
      <c r="C206" s="5" t="s">
        <v>560</v>
      </c>
      <c r="D206" s="5" t="s">
        <v>561</v>
      </c>
      <c r="E206" s="5" t="s">
        <v>562</v>
      </c>
      <c r="F206" s="6">
        <v>43642</v>
      </c>
      <c r="G206" s="5"/>
      <c r="H206" s="5" t="s">
        <v>176</v>
      </c>
      <c r="I206" s="5" t="s">
        <v>177</v>
      </c>
      <c r="J206" s="5" t="s">
        <v>33</v>
      </c>
      <c r="K206" s="7">
        <v>282003</v>
      </c>
      <c r="L206" s="8">
        <v>50760.54</v>
      </c>
      <c r="M206" s="9">
        <f t="shared" si="3"/>
        <v>332763.53999999998</v>
      </c>
      <c r="N206" s="5" t="s">
        <v>34</v>
      </c>
    </row>
    <row r="207" spans="1:14">
      <c r="A207" s="3" t="s">
        <v>27</v>
      </c>
      <c r="B207" s="4">
        <v>12677</v>
      </c>
      <c r="C207" s="5" t="s">
        <v>563</v>
      </c>
      <c r="D207" s="5" t="s">
        <v>564</v>
      </c>
      <c r="E207" s="5" t="s">
        <v>565</v>
      </c>
      <c r="F207" s="6">
        <v>43642</v>
      </c>
      <c r="G207" s="5"/>
      <c r="H207" s="5" t="s">
        <v>176</v>
      </c>
      <c r="I207" s="5" t="s">
        <v>177</v>
      </c>
      <c r="J207" s="5" t="s">
        <v>33</v>
      </c>
      <c r="K207" s="7">
        <v>5842431.5999999996</v>
      </c>
      <c r="L207" s="8">
        <v>51865.72</v>
      </c>
      <c r="M207" s="9">
        <f t="shared" si="3"/>
        <v>5894297.3199999994</v>
      </c>
      <c r="N207" s="5" t="s">
        <v>34</v>
      </c>
    </row>
    <row r="208" spans="1:14">
      <c r="A208" s="3" t="s">
        <v>27</v>
      </c>
      <c r="B208" s="4">
        <v>3425</v>
      </c>
      <c r="C208" s="5" t="s">
        <v>277</v>
      </c>
      <c r="D208" s="5" t="s">
        <v>566</v>
      </c>
      <c r="E208" s="5" t="s">
        <v>567</v>
      </c>
      <c r="F208" s="6">
        <v>43647</v>
      </c>
      <c r="G208" s="5"/>
      <c r="H208" s="5" t="s">
        <v>164</v>
      </c>
      <c r="I208" s="5" t="s">
        <v>165</v>
      </c>
      <c r="J208" s="5" t="s">
        <v>33</v>
      </c>
      <c r="K208" s="7">
        <v>74300</v>
      </c>
      <c r="L208" s="8">
        <v>13374</v>
      </c>
      <c r="M208" s="9">
        <f t="shared" si="3"/>
        <v>87674</v>
      </c>
      <c r="N208" s="5" t="s">
        <v>53</v>
      </c>
    </row>
    <row r="209" spans="1:14">
      <c r="A209" s="3" t="s">
        <v>27</v>
      </c>
      <c r="B209" s="4">
        <v>21992</v>
      </c>
      <c r="C209" s="5" t="s">
        <v>412</v>
      </c>
      <c r="D209" s="5" t="s">
        <v>568</v>
      </c>
      <c r="E209" s="5" t="s">
        <v>569</v>
      </c>
      <c r="F209" s="6">
        <v>43649</v>
      </c>
      <c r="G209" s="5"/>
      <c r="H209" s="5" t="s">
        <v>176</v>
      </c>
      <c r="I209" s="5" t="s">
        <v>177</v>
      </c>
      <c r="J209" s="5" t="s">
        <v>33</v>
      </c>
      <c r="K209" s="7">
        <v>410933.25</v>
      </c>
      <c r="L209" s="8">
        <v>73968</v>
      </c>
      <c r="M209" s="9">
        <f t="shared" si="3"/>
        <v>484901.25</v>
      </c>
      <c r="N209" s="5" t="s">
        <v>34</v>
      </c>
    </row>
    <row r="210" spans="1:14">
      <c r="A210" s="3" t="s">
        <v>27</v>
      </c>
      <c r="B210" s="4">
        <v>12615</v>
      </c>
      <c r="C210" s="5" t="s">
        <v>511</v>
      </c>
      <c r="D210" s="5" t="s">
        <v>570</v>
      </c>
      <c r="E210" s="5" t="s">
        <v>571</v>
      </c>
      <c r="F210" s="6">
        <v>43649</v>
      </c>
      <c r="G210" s="5"/>
      <c r="H210" s="5" t="s">
        <v>31</v>
      </c>
      <c r="I210" s="5" t="s">
        <v>32</v>
      </c>
      <c r="J210" s="5" t="s">
        <v>33</v>
      </c>
      <c r="K210" s="7">
        <v>1040000</v>
      </c>
      <c r="L210" s="8">
        <v>187200</v>
      </c>
      <c r="M210" s="9">
        <f t="shared" si="3"/>
        <v>1227200</v>
      </c>
      <c r="N210" s="5" t="s">
        <v>34</v>
      </c>
    </row>
    <row r="211" spans="1:14">
      <c r="A211" s="3" t="s">
        <v>27</v>
      </c>
      <c r="B211" s="4">
        <v>3425</v>
      </c>
      <c r="C211" s="5" t="s">
        <v>277</v>
      </c>
      <c r="D211" s="5" t="s">
        <v>572</v>
      </c>
      <c r="E211" s="5" t="s">
        <v>567</v>
      </c>
      <c r="F211" s="6">
        <v>43650</v>
      </c>
      <c r="G211" s="5"/>
      <c r="H211" s="5" t="s">
        <v>164</v>
      </c>
      <c r="I211" s="5" t="s">
        <v>165</v>
      </c>
      <c r="J211" s="5" t="s">
        <v>33</v>
      </c>
      <c r="K211" s="7">
        <v>74500.05</v>
      </c>
      <c r="L211" s="8">
        <v>13410</v>
      </c>
      <c r="M211" s="9">
        <f t="shared" si="3"/>
        <v>87910.05</v>
      </c>
      <c r="N211" s="5" t="s">
        <v>47</v>
      </c>
    </row>
    <row r="212" spans="1:14">
      <c r="A212" s="3" t="s">
        <v>27</v>
      </c>
      <c r="B212" s="4">
        <v>22385</v>
      </c>
      <c r="C212" s="5" t="s">
        <v>573</v>
      </c>
      <c r="D212" s="5" t="s">
        <v>574</v>
      </c>
      <c r="E212" s="5" t="s">
        <v>575</v>
      </c>
      <c r="F212" s="6">
        <v>43654</v>
      </c>
      <c r="G212" s="5"/>
      <c r="H212" s="5" t="s">
        <v>176</v>
      </c>
      <c r="I212" s="5" t="s">
        <v>177</v>
      </c>
      <c r="J212" s="5" t="s">
        <v>33</v>
      </c>
      <c r="K212" s="7">
        <v>1884500</v>
      </c>
      <c r="L212" s="8">
        <v>339210</v>
      </c>
      <c r="M212" s="9">
        <f t="shared" si="3"/>
        <v>2223710</v>
      </c>
      <c r="N212" s="5" t="s">
        <v>34</v>
      </c>
    </row>
    <row r="213" spans="1:14">
      <c r="A213" s="3" t="s">
        <v>27</v>
      </c>
      <c r="B213" s="4">
        <v>21161</v>
      </c>
      <c r="C213" s="5" t="s">
        <v>363</v>
      </c>
      <c r="D213" s="5" t="s">
        <v>576</v>
      </c>
      <c r="E213" s="5" t="s">
        <v>577</v>
      </c>
      <c r="F213" s="6">
        <v>43654</v>
      </c>
      <c r="G213" s="5"/>
      <c r="H213" s="5" t="s">
        <v>176</v>
      </c>
      <c r="I213" s="5" t="s">
        <v>177</v>
      </c>
      <c r="J213" s="5" t="s">
        <v>33</v>
      </c>
      <c r="K213" s="7">
        <v>610275</v>
      </c>
      <c r="L213" s="8">
        <v>109849.5</v>
      </c>
      <c r="M213" s="9">
        <f t="shared" si="3"/>
        <v>720124.5</v>
      </c>
      <c r="N213" s="5" t="s">
        <v>34</v>
      </c>
    </row>
    <row r="214" spans="1:14">
      <c r="A214" s="3" t="s">
        <v>27</v>
      </c>
      <c r="B214" s="4">
        <v>26333</v>
      </c>
      <c r="C214" s="5" t="s">
        <v>578</v>
      </c>
      <c r="D214" s="11" t="s">
        <v>579</v>
      </c>
      <c r="E214" s="5"/>
      <c r="F214" s="6">
        <v>43656</v>
      </c>
      <c r="G214" s="5"/>
      <c r="H214" s="5" t="s">
        <v>411</v>
      </c>
      <c r="I214" s="5" t="s">
        <v>177</v>
      </c>
      <c r="J214" s="5" t="s">
        <v>33</v>
      </c>
      <c r="K214" s="7">
        <v>2920</v>
      </c>
      <c r="L214" s="8">
        <v>350.4</v>
      </c>
      <c r="M214" s="9">
        <f t="shared" si="3"/>
        <v>3270.4</v>
      </c>
      <c r="N214" s="5" t="s">
        <v>47</v>
      </c>
    </row>
    <row r="215" spans="1:14">
      <c r="A215" s="3" t="s">
        <v>27</v>
      </c>
      <c r="B215" s="4">
        <v>26530</v>
      </c>
      <c r="C215" s="5" t="s">
        <v>580</v>
      </c>
      <c r="D215" s="11" t="s">
        <v>581</v>
      </c>
      <c r="E215" s="5"/>
      <c r="F215" s="6">
        <v>43656</v>
      </c>
      <c r="G215" s="5"/>
      <c r="H215" s="5" t="s">
        <v>411</v>
      </c>
      <c r="I215" s="5" t="s">
        <v>177</v>
      </c>
      <c r="J215" s="5" t="s">
        <v>33</v>
      </c>
      <c r="K215" s="7">
        <v>15153</v>
      </c>
      <c r="L215" s="8">
        <v>1818.36</v>
      </c>
      <c r="M215" s="9">
        <f t="shared" si="3"/>
        <v>16971.36</v>
      </c>
      <c r="N215" s="5" t="s">
        <v>34</v>
      </c>
    </row>
    <row r="216" spans="1:14">
      <c r="A216" s="3" t="s">
        <v>27</v>
      </c>
      <c r="B216" s="4">
        <v>17859</v>
      </c>
      <c r="C216" s="5" t="s">
        <v>582</v>
      </c>
      <c r="D216" s="5" t="s">
        <v>583</v>
      </c>
      <c r="E216" s="5" t="s">
        <v>584</v>
      </c>
      <c r="F216" s="6">
        <v>43657</v>
      </c>
      <c r="G216" s="5"/>
      <c r="H216" s="5" t="s">
        <v>176</v>
      </c>
      <c r="I216" s="5" t="s">
        <v>177</v>
      </c>
      <c r="J216" s="5" t="s">
        <v>33</v>
      </c>
      <c r="K216" s="7">
        <v>21000</v>
      </c>
      <c r="L216" s="8">
        <v>3780</v>
      </c>
      <c r="M216" s="9">
        <f t="shared" si="3"/>
        <v>24780</v>
      </c>
      <c r="N216" s="5" t="s">
        <v>220</v>
      </c>
    </row>
    <row r="217" spans="1:14">
      <c r="A217" s="3" t="s">
        <v>27</v>
      </c>
      <c r="B217" s="4">
        <v>27719</v>
      </c>
      <c r="C217" s="5" t="s">
        <v>585</v>
      </c>
      <c r="D217" s="5" t="s">
        <v>586</v>
      </c>
      <c r="E217" s="5" t="s">
        <v>587</v>
      </c>
      <c r="F217" s="6">
        <v>43658</v>
      </c>
      <c r="G217" s="5"/>
      <c r="H217" s="5" t="s">
        <v>176</v>
      </c>
      <c r="I217" s="5" t="s">
        <v>177</v>
      </c>
      <c r="J217" s="5" t="s">
        <v>33</v>
      </c>
      <c r="K217" s="7">
        <v>1674905</v>
      </c>
      <c r="L217" s="8">
        <v>301482.90000000002</v>
      </c>
      <c r="M217" s="9">
        <f t="shared" si="3"/>
        <v>1976387.9</v>
      </c>
      <c r="N217" s="5" t="s">
        <v>34</v>
      </c>
    </row>
    <row r="218" spans="1:14">
      <c r="A218" s="3" t="s">
        <v>27</v>
      </c>
      <c r="B218" s="4">
        <v>12015</v>
      </c>
      <c r="C218" s="5" t="s">
        <v>391</v>
      </c>
      <c r="D218" s="5" t="s">
        <v>588</v>
      </c>
      <c r="E218" s="5" t="s">
        <v>589</v>
      </c>
      <c r="F218" s="6">
        <v>43659</v>
      </c>
      <c r="G218" s="5"/>
      <c r="H218" s="5" t="s">
        <v>176</v>
      </c>
      <c r="I218" s="5" t="s">
        <v>177</v>
      </c>
      <c r="J218" s="5" t="s">
        <v>33</v>
      </c>
      <c r="K218" s="7">
        <v>1068000</v>
      </c>
      <c r="L218" s="8">
        <v>192240</v>
      </c>
      <c r="M218" s="9">
        <f t="shared" si="3"/>
        <v>1260240</v>
      </c>
      <c r="N218" s="5" t="s">
        <v>34</v>
      </c>
    </row>
    <row r="219" spans="1:14">
      <c r="A219" s="3" t="s">
        <v>27</v>
      </c>
      <c r="B219" s="4">
        <v>27862</v>
      </c>
      <c r="C219" s="5" t="s">
        <v>590</v>
      </c>
      <c r="D219" s="5" t="s">
        <v>591</v>
      </c>
      <c r="E219" s="5" t="s">
        <v>592</v>
      </c>
      <c r="F219" s="6">
        <v>43661</v>
      </c>
      <c r="G219" s="5"/>
      <c r="H219" s="5" t="s">
        <v>176</v>
      </c>
      <c r="I219" s="5" t="s">
        <v>177</v>
      </c>
      <c r="J219" s="5" t="s">
        <v>33</v>
      </c>
      <c r="K219" s="7">
        <v>165000</v>
      </c>
      <c r="L219" s="8">
        <v>29700</v>
      </c>
      <c r="M219" s="9">
        <f t="shared" si="3"/>
        <v>194700</v>
      </c>
      <c r="N219" s="5" t="s">
        <v>34</v>
      </c>
    </row>
    <row r="220" spans="1:14">
      <c r="A220" s="3" t="s">
        <v>27</v>
      </c>
      <c r="B220" s="4">
        <v>15115</v>
      </c>
      <c r="C220" s="5" t="s">
        <v>303</v>
      </c>
      <c r="D220" s="5" t="s">
        <v>593</v>
      </c>
      <c r="E220" s="5" t="s">
        <v>594</v>
      </c>
      <c r="F220" s="6">
        <v>43662</v>
      </c>
      <c r="G220" s="5"/>
      <c r="H220" s="5" t="s">
        <v>176</v>
      </c>
      <c r="I220" s="5" t="s">
        <v>177</v>
      </c>
      <c r="J220" s="5" t="s">
        <v>33</v>
      </c>
      <c r="K220" s="7">
        <v>147000</v>
      </c>
      <c r="L220" s="8">
        <v>26460</v>
      </c>
      <c r="M220" s="9">
        <f t="shared" si="3"/>
        <v>173460</v>
      </c>
      <c r="N220" s="5" t="s">
        <v>34</v>
      </c>
    </row>
    <row r="221" spans="1:14">
      <c r="A221" s="3" t="s">
        <v>27</v>
      </c>
      <c r="B221" s="4">
        <v>19484</v>
      </c>
      <c r="C221" s="5" t="s">
        <v>595</v>
      </c>
      <c r="D221" s="5" t="s">
        <v>596</v>
      </c>
      <c r="E221" s="5" t="s">
        <v>597</v>
      </c>
      <c r="F221" s="6">
        <v>43662</v>
      </c>
      <c r="G221" s="5"/>
      <c r="H221" s="5" t="s">
        <v>176</v>
      </c>
      <c r="I221" s="5" t="s">
        <v>177</v>
      </c>
      <c r="J221" s="5" t="s">
        <v>33</v>
      </c>
      <c r="K221" s="7">
        <v>169400</v>
      </c>
      <c r="L221" s="8">
        <v>30492</v>
      </c>
      <c r="M221" s="9">
        <f t="shared" si="3"/>
        <v>199892</v>
      </c>
      <c r="N221" s="5" t="s">
        <v>34</v>
      </c>
    </row>
    <row r="222" spans="1:14">
      <c r="A222" s="3" t="s">
        <v>27</v>
      </c>
      <c r="B222" s="4">
        <v>15115</v>
      </c>
      <c r="C222" s="5" t="s">
        <v>303</v>
      </c>
      <c r="D222" s="5" t="s">
        <v>598</v>
      </c>
      <c r="E222" s="5" t="s">
        <v>599</v>
      </c>
      <c r="F222" s="6">
        <v>43662</v>
      </c>
      <c r="G222" s="5"/>
      <c r="H222" s="5" t="s">
        <v>176</v>
      </c>
      <c r="I222" s="5" t="s">
        <v>177</v>
      </c>
      <c r="J222" s="5" t="s">
        <v>33</v>
      </c>
      <c r="K222" s="7">
        <v>114972</v>
      </c>
      <c r="L222" s="8">
        <v>20694.96</v>
      </c>
      <c r="M222" s="9">
        <f t="shared" si="3"/>
        <v>135666.96</v>
      </c>
      <c r="N222" s="5" t="s">
        <v>34</v>
      </c>
    </row>
    <row r="223" spans="1:14">
      <c r="A223" s="3" t="s">
        <v>27</v>
      </c>
      <c r="B223" s="4">
        <v>27880</v>
      </c>
      <c r="C223" s="5" t="s">
        <v>600</v>
      </c>
      <c r="D223" s="5" t="s">
        <v>601</v>
      </c>
      <c r="E223" s="5" t="s">
        <v>602</v>
      </c>
      <c r="F223" s="6">
        <v>43671</v>
      </c>
      <c r="G223" s="5"/>
      <c r="H223" s="5" t="s">
        <v>176</v>
      </c>
      <c r="I223" s="5" t="s">
        <v>177</v>
      </c>
      <c r="J223" s="5" t="s">
        <v>33</v>
      </c>
      <c r="K223" s="7">
        <v>4886</v>
      </c>
      <c r="L223" s="8">
        <v>879.48</v>
      </c>
      <c r="M223" s="9">
        <f t="shared" si="3"/>
        <v>5765.48</v>
      </c>
      <c r="N223" s="5" t="s">
        <v>34</v>
      </c>
    </row>
    <row r="224" spans="1:14">
      <c r="A224" s="3" t="s">
        <v>27</v>
      </c>
      <c r="B224" s="4">
        <v>20547</v>
      </c>
      <c r="C224" s="5" t="s">
        <v>347</v>
      </c>
      <c r="D224" s="5" t="s">
        <v>603</v>
      </c>
      <c r="E224" s="5" t="s">
        <v>604</v>
      </c>
      <c r="F224" s="6">
        <v>43671</v>
      </c>
      <c r="G224" s="5"/>
      <c r="H224" s="5" t="s">
        <v>176</v>
      </c>
      <c r="I224" s="5" t="s">
        <v>177</v>
      </c>
      <c r="J224" s="5" t="s">
        <v>33</v>
      </c>
      <c r="K224" s="7">
        <v>292582</v>
      </c>
      <c r="L224" s="8">
        <v>52664.76</v>
      </c>
      <c r="M224" s="9">
        <f t="shared" si="3"/>
        <v>345246.76</v>
      </c>
      <c r="N224" s="5" t="s">
        <v>34</v>
      </c>
    </row>
    <row r="225" spans="1:14">
      <c r="A225" s="3" t="s">
        <v>27</v>
      </c>
      <c r="B225" s="4">
        <v>12615</v>
      </c>
      <c r="C225" s="5" t="s">
        <v>511</v>
      </c>
      <c r="D225" s="5" t="s">
        <v>605</v>
      </c>
      <c r="E225" s="5" t="s">
        <v>606</v>
      </c>
      <c r="F225" s="6">
        <v>43671</v>
      </c>
      <c r="G225" s="5"/>
      <c r="H225" s="5" t="s">
        <v>176</v>
      </c>
      <c r="I225" s="5" t="s">
        <v>177</v>
      </c>
      <c r="J225" s="5" t="s">
        <v>33</v>
      </c>
      <c r="K225" s="7">
        <v>270205</v>
      </c>
      <c r="L225" s="8">
        <v>48636.9</v>
      </c>
      <c r="M225" s="9">
        <f t="shared" si="3"/>
        <v>318841.90000000002</v>
      </c>
      <c r="N225" s="5" t="s">
        <v>34</v>
      </c>
    </row>
    <row r="226" spans="1:14">
      <c r="A226" s="3" t="s">
        <v>27</v>
      </c>
      <c r="B226" s="4">
        <v>23214</v>
      </c>
      <c r="C226" s="5" t="s">
        <v>607</v>
      </c>
      <c r="D226" s="5" t="s">
        <v>608</v>
      </c>
      <c r="E226" s="5" t="s">
        <v>609</v>
      </c>
      <c r="F226" s="6">
        <v>43672</v>
      </c>
      <c r="G226" s="5"/>
      <c r="H226" s="5" t="s">
        <v>176</v>
      </c>
      <c r="I226" s="5" t="s">
        <v>177</v>
      </c>
      <c r="J226" s="5" t="s">
        <v>33</v>
      </c>
      <c r="K226" s="7">
        <v>201720</v>
      </c>
      <c r="L226" s="8">
        <v>36309.599999999999</v>
      </c>
      <c r="M226" s="9">
        <f t="shared" si="3"/>
        <v>238029.6</v>
      </c>
      <c r="N226" s="5" t="s">
        <v>34</v>
      </c>
    </row>
    <row r="227" spans="1:14">
      <c r="A227" s="3" t="s">
        <v>27</v>
      </c>
      <c r="B227" s="4">
        <v>19669</v>
      </c>
      <c r="C227" s="5" t="s">
        <v>71</v>
      </c>
      <c r="D227" s="5" t="s">
        <v>610</v>
      </c>
      <c r="E227" s="5" t="s">
        <v>611</v>
      </c>
      <c r="F227" s="6">
        <v>43672</v>
      </c>
      <c r="G227" s="5"/>
      <c r="H227" s="5" t="s">
        <v>176</v>
      </c>
      <c r="I227" s="5" t="s">
        <v>177</v>
      </c>
      <c r="J227" s="5" t="s">
        <v>33</v>
      </c>
      <c r="K227" s="7">
        <v>224400</v>
      </c>
      <c r="L227" s="8">
        <v>40392</v>
      </c>
      <c r="M227" s="9">
        <f t="shared" si="3"/>
        <v>264792</v>
      </c>
      <c r="N227" s="5" t="s">
        <v>220</v>
      </c>
    </row>
    <row r="228" spans="1:14">
      <c r="A228" s="3" t="s">
        <v>27</v>
      </c>
      <c r="B228" s="4">
        <v>26781</v>
      </c>
      <c r="C228" s="5" t="s">
        <v>224</v>
      </c>
      <c r="D228" s="5" t="s">
        <v>612</v>
      </c>
      <c r="E228" s="5" t="s">
        <v>613</v>
      </c>
      <c r="F228" s="6">
        <v>43678</v>
      </c>
      <c r="G228" s="5"/>
      <c r="H228" s="5" t="s">
        <v>176</v>
      </c>
      <c r="I228" s="5" t="s">
        <v>177</v>
      </c>
      <c r="J228" s="5" t="s">
        <v>33</v>
      </c>
      <c r="K228" s="7">
        <v>18944160</v>
      </c>
      <c r="L228" s="8">
        <v>3409948.8</v>
      </c>
      <c r="M228" s="9">
        <f t="shared" si="3"/>
        <v>22354108.800000001</v>
      </c>
      <c r="N228" s="5" t="s">
        <v>34</v>
      </c>
    </row>
    <row r="229" spans="1:14">
      <c r="A229" s="3" t="s">
        <v>27</v>
      </c>
      <c r="B229" s="4">
        <v>21992</v>
      </c>
      <c r="C229" s="5" t="s">
        <v>412</v>
      </c>
      <c r="D229" s="5" t="s">
        <v>614</v>
      </c>
      <c r="E229" s="5" t="s">
        <v>615</v>
      </c>
      <c r="F229" s="6">
        <v>43679</v>
      </c>
      <c r="G229" s="5"/>
      <c r="H229" s="5" t="s">
        <v>176</v>
      </c>
      <c r="I229" s="5" t="s">
        <v>177</v>
      </c>
      <c r="J229" s="5" t="s">
        <v>33</v>
      </c>
      <c r="K229" s="7">
        <v>481000</v>
      </c>
      <c r="L229" s="8">
        <v>86580</v>
      </c>
      <c r="M229" s="9">
        <f t="shared" si="3"/>
        <v>567580</v>
      </c>
      <c r="N229" s="5" t="s">
        <v>34</v>
      </c>
    </row>
    <row r="230" spans="1:14">
      <c r="A230" s="3" t="s">
        <v>27</v>
      </c>
      <c r="B230" s="4">
        <v>27849</v>
      </c>
      <c r="C230" s="5" t="s">
        <v>616</v>
      </c>
      <c r="D230" s="5" t="s">
        <v>617</v>
      </c>
      <c r="E230" s="5" t="s">
        <v>618</v>
      </c>
      <c r="F230" s="6">
        <v>43679</v>
      </c>
      <c r="G230" s="5"/>
      <c r="H230" s="5" t="s">
        <v>176</v>
      </c>
      <c r="I230" s="5" t="s">
        <v>177</v>
      </c>
      <c r="J230" s="5" t="s">
        <v>33</v>
      </c>
      <c r="K230" s="7">
        <v>387100</v>
      </c>
      <c r="L230" s="8">
        <v>69678</v>
      </c>
      <c r="M230" s="9">
        <f t="shared" si="3"/>
        <v>456778</v>
      </c>
      <c r="N230" s="5" t="s">
        <v>34</v>
      </c>
    </row>
    <row r="231" spans="1:14">
      <c r="A231" s="3" t="s">
        <v>27</v>
      </c>
      <c r="B231" s="4">
        <v>21161</v>
      </c>
      <c r="C231" s="5" t="s">
        <v>363</v>
      </c>
      <c r="D231" s="5" t="s">
        <v>619</v>
      </c>
      <c r="E231" s="5" t="s">
        <v>620</v>
      </c>
      <c r="F231" s="6">
        <v>43679</v>
      </c>
      <c r="G231" s="5"/>
      <c r="H231" s="5" t="s">
        <v>176</v>
      </c>
      <c r="I231" s="5" t="s">
        <v>177</v>
      </c>
      <c r="J231" s="5" t="s">
        <v>33</v>
      </c>
      <c r="K231" s="7">
        <v>397000</v>
      </c>
      <c r="L231" s="8">
        <v>71460</v>
      </c>
      <c r="M231" s="9">
        <f t="shared" si="3"/>
        <v>468460</v>
      </c>
      <c r="N231" s="5" t="s">
        <v>34</v>
      </c>
    </row>
    <row r="232" spans="1:14">
      <c r="A232" s="3" t="s">
        <v>27</v>
      </c>
      <c r="B232" s="4">
        <v>22329</v>
      </c>
      <c r="C232" s="5" t="s">
        <v>350</v>
      </c>
      <c r="D232" s="5" t="s">
        <v>621</v>
      </c>
      <c r="E232" s="5" t="s">
        <v>622</v>
      </c>
      <c r="F232" s="6">
        <v>43681</v>
      </c>
      <c r="G232" s="5"/>
      <c r="H232" s="5" t="s">
        <v>176</v>
      </c>
      <c r="I232" s="5" t="s">
        <v>177</v>
      </c>
      <c r="J232" s="5" t="s">
        <v>33</v>
      </c>
      <c r="K232" s="7">
        <v>244020</v>
      </c>
      <c r="L232" s="8">
        <v>43923.6</v>
      </c>
      <c r="M232" s="9">
        <f t="shared" si="3"/>
        <v>287943.59999999998</v>
      </c>
      <c r="N232" s="5" t="s">
        <v>34</v>
      </c>
    </row>
    <row r="233" spans="1:14">
      <c r="A233" s="3" t="s">
        <v>27</v>
      </c>
      <c r="B233" s="4">
        <v>22697</v>
      </c>
      <c r="C233" s="5" t="s">
        <v>208</v>
      </c>
      <c r="D233" s="5" t="s">
        <v>623</v>
      </c>
      <c r="E233" s="5" t="s">
        <v>624</v>
      </c>
      <c r="F233" s="6">
        <v>43684</v>
      </c>
      <c r="G233" s="5"/>
      <c r="H233" s="5" t="s">
        <v>176</v>
      </c>
      <c r="I233" s="5" t="s">
        <v>177</v>
      </c>
      <c r="J233" s="5" t="s">
        <v>33</v>
      </c>
      <c r="K233" s="7">
        <v>57737444</v>
      </c>
      <c r="L233" s="8">
        <v>10392739.92</v>
      </c>
      <c r="M233" s="9">
        <f t="shared" si="3"/>
        <v>68130183.920000002</v>
      </c>
      <c r="N233" s="5" t="s">
        <v>34</v>
      </c>
    </row>
    <row r="234" spans="1:14">
      <c r="A234" s="3" t="s">
        <v>27</v>
      </c>
      <c r="B234" s="4">
        <v>26781</v>
      </c>
      <c r="C234" s="5" t="s">
        <v>224</v>
      </c>
      <c r="D234" s="5" t="s">
        <v>625</v>
      </c>
      <c r="E234" s="5" t="s">
        <v>626</v>
      </c>
      <c r="F234" s="6">
        <v>43685</v>
      </c>
      <c r="G234" s="5"/>
      <c r="H234" s="5" t="s">
        <v>176</v>
      </c>
      <c r="I234" s="5" t="s">
        <v>177</v>
      </c>
      <c r="J234" s="5" t="s">
        <v>33</v>
      </c>
      <c r="K234" s="7">
        <v>202500</v>
      </c>
      <c r="L234" s="8">
        <v>36450</v>
      </c>
      <c r="M234" s="9">
        <f t="shared" si="3"/>
        <v>238950</v>
      </c>
      <c r="N234" s="5" t="s">
        <v>34</v>
      </c>
    </row>
    <row r="235" spans="1:14">
      <c r="A235" s="3" t="s">
        <v>27</v>
      </c>
      <c r="B235" s="4">
        <v>12015</v>
      </c>
      <c r="C235" s="5" t="s">
        <v>391</v>
      </c>
      <c r="D235" s="5" t="s">
        <v>627</v>
      </c>
      <c r="E235" s="5" t="s">
        <v>628</v>
      </c>
      <c r="F235" s="6">
        <v>43687</v>
      </c>
      <c r="G235" s="5"/>
      <c r="H235" s="5" t="s">
        <v>176</v>
      </c>
      <c r="I235" s="5" t="s">
        <v>177</v>
      </c>
      <c r="J235" s="5" t="s">
        <v>33</v>
      </c>
      <c r="K235" s="7">
        <v>1670000</v>
      </c>
      <c r="L235" s="8">
        <v>300600</v>
      </c>
      <c r="M235" s="9">
        <f t="shared" si="3"/>
        <v>1970600</v>
      </c>
      <c r="N235" s="5" t="s">
        <v>34</v>
      </c>
    </row>
    <row r="236" spans="1:14">
      <c r="A236" s="3" t="s">
        <v>27</v>
      </c>
      <c r="B236" s="4">
        <v>24433</v>
      </c>
      <c r="C236" s="5" t="s">
        <v>629</v>
      </c>
      <c r="D236" s="5" t="s">
        <v>630</v>
      </c>
      <c r="E236" s="5" t="s">
        <v>631</v>
      </c>
      <c r="F236" s="6">
        <v>43689</v>
      </c>
      <c r="G236" s="5"/>
      <c r="H236" s="5" t="s">
        <v>176</v>
      </c>
      <c r="I236" s="5" t="s">
        <v>177</v>
      </c>
      <c r="J236" s="5" t="s">
        <v>33</v>
      </c>
      <c r="K236" s="7">
        <v>7800</v>
      </c>
      <c r="L236" s="8">
        <v>1404</v>
      </c>
      <c r="M236" s="9">
        <f t="shared" si="3"/>
        <v>9204</v>
      </c>
      <c r="N236" s="5" t="s">
        <v>34</v>
      </c>
    </row>
    <row r="237" spans="1:14">
      <c r="A237" s="3" t="s">
        <v>27</v>
      </c>
      <c r="B237" s="4">
        <v>13870</v>
      </c>
      <c r="C237" s="5" t="s">
        <v>632</v>
      </c>
      <c r="D237" s="5" t="s">
        <v>633</v>
      </c>
      <c r="E237" s="5" t="s">
        <v>333</v>
      </c>
      <c r="F237" s="6">
        <v>43693</v>
      </c>
      <c r="G237" s="5"/>
      <c r="H237" s="5" t="s">
        <v>176</v>
      </c>
      <c r="I237" s="5" t="s">
        <v>177</v>
      </c>
      <c r="J237" s="5" t="s">
        <v>33</v>
      </c>
      <c r="K237" s="7">
        <v>260000</v>
      </c>
      <c r="L237" s="8">
        <v>46800</v>
      </c>
      <c r="M237" s="9">
        <f t="shared" si="3"/>
        <v>306800</v>
      </c>
      <c r="N237" s="5" t="s">
        <v>34</v>
      </c>
    </row>
    <row r="238" spans="1:14">
      <c r="A238" s="3" t="s">
        <v>27</v>
      </c>
      <c r="B238" s="4">
        <v>21992</v>
      </c>
      <c r="C238" s="5" t="s">
        <v>412</v>
      </c>
      <c r="D238" s="5" t="s">
        <v>634</v>
      </c>
      <c r="E238" s="5" t="s">
        <v>635</v>
      </c>
      <c r="F238" s="6">
        <v>43697</v>
      </c>
      <c r="G238" s="5"/>
      <c r="H238" s="5" t="s">
        <v>176</v>
      </c>
      <c r="I238" s="5" t="s">
        <v>177</v>
      </c>
      <c r="J238" s="5" t="s">
        <v>33</v>
      </c>
      <c r="K238" s="7">
        <v>1842475</v>
      </c>
      <c r="L238" s="8">
        <v>331645.5</v>
      </c>
      <c r="M238" s="9">
        <f t="shared" si="3"/>
        <v>2174120.5</v>
      </c>
      <c r="N238" s="5" t="s">
        <v>34</v>
      </c>
    </row>
    <row r="239" spans="1:14">
      <c r="A239" s="3" t="s">
        <v>27</v>
      </c>
      <c r="B239" s="4">
        <v>27913</v>
      </c>
      <c r="C239" s="5" t="s">
        <v>636</v>
      </c>
      <c r="D239" s="11" t="s">
        <v>637</v>
      </c>
      <c r="E239" s="5"/>
      <c r="F239" s="6">
        <v>43698</v>
      </c>
      <c r="G239" s="5"/>
      <c r="H239" s="5" t="s">
        <v>411</v>
      </c>
      <c r="I239" s="5" t="s">
        <v>177</v>
      </c>
      <c r="J239" s="5" t="s">
        <v>33</v>
      </c>
      <c r="K239" s="7">
        <v>2150000</v>
      </c>
      <c r="L239" s="8">
        <v>387000</v>
      </c>
      <c r="M239" s="9">
        <f t="shared" si="3"/>
        <v>2537000</v>
      </c>
      <c r="N239" s="5" t="s">
        <v>474</v>
      </c>
    </row>
    <row r="240" spans="1:14">
      <c r="A240" s="3" t="s">
        <v>27</v>
      </c>
      <c r="B240" s="4">
        <v>21666</v>
      </c>
      <c r="C240" s="5" t="s">
        <v>232</v>
      </c>
      <c r="D240" s="5" t="s">
        <v>638</v>
      </c>
      <c r="E240" s="5" t="s">
        <v>639</v>
      </c>
      <c r="F240" s="6">
        <v>43699</v>
      </c>
      <c r="G240" s="5"/>
      <c r="H240" s="5" t="s">
        <v>176</v>
      </c>
      <c r="I240" s="5" t="s">
        <v>177</v>
      </c>
      <c r="J240" s="5" t="s">
        <v>33</v>
      </c>
      <c r="K240" s="7">
        <v>730572</v>
      </c>
      <c r="L240" s="8">
        <v>131502.96</v>
      </c>
      <c r="M240" s="9">
        <f t="shared" si="3"/>
        <v>862074.96</v>
      </c>
      <c r="N240" s="5" t="s">
        <v>34</v>
      </c>
    </row>
    <row r="241" spans="1:14">
      <c r="A241" s="3" t="s">
        <v>27</v>
      </c>
      <c r="B241" s="4">
        <v>3286</v>
      </c>
      <c r="C241" s="5" t="s">
        <v>640</v>
      </c>
      <c r="D241" s="5" t="s">
        <v>641</v>
      </c>
      <c r="E241" s="5" t="s">
        <v>642</v>
      </c>
      <c r="F241" s="6">
        <v>43699</v>
      </c>
      <c r="G241" s="5"/>
      <c r="H241" s="5" t="s">
        <v>176</v>
      </c>
      <c r="I241" s="5" t="s">
        <v>177</v>
      </c>
      <c r="J241" s="5" t="s">
        <v>33</v>
      </c>
      <c r="K241" s="7">
        <v>554040</v>
      </c>
      <c r="L241" s="8">
        <v>99727.2</v>
      </c>
      <c r="M241" s="9">
        <f t="shared" si="3"/>
        <v>653767.19999999995</v>
      </c>
      <c r="N241" s="5" t="s">
        <v>34</v>
      </c>
    </row>
    <row r="242" spans="1:14">
      <c r="A242" s="3" t="s">
        <v>27</v>
      </c>
      <c r="B242" s="4">
        <v>15115</v>
      </c>
      <c r="C242" s="5" t="s">
        <v>303</v>
      </c>
      <c r="D242" s="5" t="s">
        <v>643</v>
      </c>
      <c r="E242" s="5" t="s">
        <v>644</v>
      </c>
      <c r="F242" s="6">
        <v>43701</v>
      </c>
      <c r="G242" s="5"/>
      <c r="H242" s="5" t="s">
        <v>176</v>
      </c>
      <c r="I242" s="5" t="s">
        <v>177</v>
      </c>
      <c r="J242" s="5" t="s">
        <v>33</v>
      </c>
      <c r="K242" s="7">
        <v>143178</v>
      </c>
      <c r="L242" s="8">
        <v>25772.04</v>
      </c>
      <c r="M242" s="9">
        <f t="shared" si="3"/>
        <v>168950.04</v>
      </c>
      <c r="N242" s="5" t="s">
        <v>34</v>
      </c>
    </row>
    <row r="243" spans="1:14">
      <c r="A243" s="3" t="s">
        <v>27</v>
      </c>
      <c r="B243" s="4">
        <v>12615</v>
      </c>
      <c r="C243" s="5" t="s">
        <v>511</v>
      </c>
      <c r="D243" s="5" t="s">
        <v>645</v>
      </c>
      <c r="E243" s="5" t="s">
        <v>646</v>
      </c>
      <c r="F243" s="6">
        <v>43701</v>
      </c>
      <c r="G243" s="5"/>
      <c r="H243" s="5" t="s">
        <v>176</v>
      </c>
      <c r="I243" s="5" t="s">
        <v>177</v>
      </c>
      <c r="J243" s="5" t="s">
        <v>33</v>
      </c>
      <c r="K243" s="7">
        <v>18000</v>
      </c>
      <c r="L243" s="8">
        <v>3240</v>
      </c>
      <c r="M243" s="9">
        <f t="shared" si="3"/>
        <v>21240</v>
      </c>
      <c r="N243" s="5" t="s">
        <v>34</v>
      </c>
    </row>
    <row r="244" spans="1:14">
      <c r="A244" s="3" t="s">
        <v>27</v>
      </c>
      <c r="B244" s="4">
        <v>24746</v>
      </c>
      <c r="C244" s="5" t="s">
        <v>158</v>
      </c>
      <c r="D244" s="5" t="s">
        <v>647</v>
      </c>
      <c r="E244" s="5" t="s">
        <v>648</v>
      </c>
      <c r="F244" s="6">
        <v>43701</v>
      </c>
      <c r="G244" s="5"/>
      <c r="H244" s="5" t="s">
        <v>176</v>
      </c>
      <c r="I244" s="5" t="s">
        <v>177</v>
      </c>
      <c r="J244" s="5" t="s">
        <v>33</v>
      </c>
      <c r="K244" s="7">
        <v>23646.85</v>
      </c>
      <c r="L244" s="8">
        <v>4256.46</v>
      </c>
      <c r="M244" s="9">
        <f t="shared" si="3"/>
        <v>27903.309999999998</v>
      </c>
      <c r="N244" s="5" t="s">
        <v>34</v>
      </c>
    </row>
    <row r="245" spans="1:14">
      <c r="A245" s="3" t="s">
        <v>27</v>
      </c>
      <c r="B245" s="4">
        <v>24883</v>
      </c>
      <c r="C245" s="5" t="s">
        <v>469</v>
      </c>
      <c r="D245" s="5" t="s">
        <v>649</v>
      </c>
      <c r="E245" s="5" t="s">
        <v>650</v>
      </c>
      <c r="F245" s="6">
        <v>43701</v>
      </c>
      <c r="G245" s="5"/>
      <c r="H245" s="5" t="s">
        <v>176</v>
      </c>
      <c r="I245" s="5" t="s">
        <v>177</v>
      </c>
      <c r="J245" s="5" t="s">
        <v>33</v>
      </c>
      <c r="K245" s="7">
        <v>2429350</v>
      </c>
      <c r="L245" s="8">
        <v>437283</v>
      </c>
      <c r="M245" s="9">
        <f t="shared" si="3"/>
        <v>2866633</v>
      </c>
      <c r="N245" s="5" t="s">
        <v>34</v>
      </c>
    </row>
    <row r="246" spans="1:14">
      <c r="A246" s="3" t="s">
        <v>27</v>
      </c>
      <c r="B246" s="4">
        <v>27913</v>
      </c>
      <c r="C246" s="5" t="s">
        <v>636</v>
      </c>
      <c r="D246" s="11" t="s">
        <v>651</v>
      </c>
      <c r="E246" s="5" t="s">
        <v>652</v>
      </c>
      <c r="F246" s="6">
        <v>43703</v>
      </c>
      <c r="G246" s="5"/>
      <c r="H246" s="5" t="s">
        <v>411</v>
      </c>
      <c r="I246" s="5" t="s">
        <v>177</v>
      </c>
      <c r="J246" s="5" t="s">
        <v>33</v>
      </c>
      <c r="K246" s="7">
        <v>1275000</v>
      </c>
      <c r="L246" s="8">
        <v>229500</v>
      </c>
      <c r="M246" s="9">
        <f t="shared" si="3"/>
        <v>1504500</v>
      </c>
      <c r="N246" s="5" t="s">
        <v>474</v>
      </c>
    </row>
    <row r="247" spans="1:14">
      <c r="A247" s="3" t="s">
        <v>27</v>
      </c>
      <c r="B247" s="4">
        <v>3818</v>
      </c>
      <c r="C247" s="5" t="s">
        <v>653</v>
      </c>
      <c r="D247" s="5" t="s">
        <v>654</v>
      </c>
      <c r="E247" s="5" t="s">
        <v>655</v>
      </c>
      <c r="F247" s="6">
        <v>43705</v>
      </c>
      <c r="G247" s="5"/>
      <c r="H247" s="5" t="s">
        <v>176</v>
      </c>
      <c r="I247" s="5" t="s">
        <v>177</v>
      </c>
      <c r="J247" s="5" t="s">
        <v>33</v>
      </c>
      <c r="K247" s="7">
        <v>39000</v>
      </c>
      <c r="L247" s="8">
        <v>7020</v>
      </c>
      <c r="M247" s="9">
        <f t="shared" si="3"/>
        <v>46020</v>
      </c>
      <c r="N247" s="5" t="s">
        <v>53</v>
      </c>
    </row>
    <row r="248" spans="1:14">
      <c r="A248" s="3" t="s">
        <v>27</v>
      </c>
      <c r="B248" s="4">
        <v>22953</v>
      </c>
      <c r="C248" s="5" t="s">
        <v>656</v>
      </c>
      <c r="D248" s="11" t="s">
        <v>657</v>
      </c>
      <c r="E248" s="5" t="s">
        <v>658</v>
      </c>
      <c r="F248" s="6">
        <v>43705</v>
      </c>
      <c r="G248" s="5"/>
      <c r="H248" s="5" t="s">
        <v>247</v>
      </c>
      <c r="I248" s="11" t="s">
        <v>45</v>
      </c>
      <c r="J248" s="5" t="s">
        <v>33</v>
      </c>
      <c r="K248" s="7">
        <v>235800</v>
      </c>
      <c r="L248" s="8">
        <v>42444</v>
      </c>
      <c r="M248" s="9">
        <f t="shared" si="3"/>
        <v>278244</v>
      </c>
      <c r="N248" s="5" t="s">
        <v>659</v>
      </c>
    </row>
    <row r="249" spans="1:14">
      <c r="A249" s="3" t="s">
        <v>27</v>
      </c>
      <c r="B249" s="4">
        <v>22953</v>
      </c>
      <c r="C249" s="5" t="s">
        <v>656</v>
      </c>
      <c r="D249" s="11" t="s">
        <v>660</v>
      </c>
      <c r="E249" s="5" t="s">
        <v>661</v>
      </c>
      <c r="F249" s="6">
        <v>43705</v>
      </c>
      <c r="G249" s="5"/>
      <c r="H249" s="5" t="s">
        <v>247</v>
      </c>
      <c r="I249" s="11" t="s">
        <v>45</v>
      </c>
      <c r="J249" s="5" t="s">
        <v>33</v>
      </c>
      <c r="K249" s="7">
        <v>178960</v>
      </c>
      <c r="L249" s="8">
        <v>32212.799999999999</v>
      </c>
      <c r="M249" s="9">
        <f t="shared" si="3"/>
        <v>211172.8</v>
      </c>
      <c r="N249" s="5" t="s">
        <v>34</v>
      </c>
    </row>
    <row r="250" spans="1:14">
      <c r="A250" s="3" t="s">
        <v>27</v>
      </c>
      <c r="B250" s="4">
        <v>26781</v>
      </c>
      <c r="C250" s="5" t="s">
        <v>224</v>
      </c>
      <c r="D250" s="5" t="s">
        <v>662</v>
      </c>
      <c r="E250" s="5" t="s">
        <v>663</v>
      </c>
      <c r="F250" s="6">
        <v>43706</v>
      </c>
      <c r="G250" s="5"/>
      <c r="H250" s="5" t="s">
        <v>176</v>
      </c>
      <c r="I250" s="5" t="s">
        <v>177</v>
      </c>
      <c r="J250" s="5" t="s">
        <v>33</v>
      </c>
      <c r="K250" s="7">
        <v>2027620</v>
      </c>
      <c r="L250" s="8">
        <v>364971.6</v>
      </c>
      <c r="M250" s="9">
        <f t="shared" si="3"/>
        <v>2392591.6</v>
      </c>
      <c r="N250" s="5" t="s">
        <v>34</v>
      </c>
    </row>
    <row r="251" spans="1:14">
      <c r="A251" s="3" t="s">
        <v>27</v>
      </c>
      <c r="B251" s="4">
        <v>12615</v>
      </c>
      <c r="C251" s="5" t="s">
        <v>511</v>
      </c>
      <c r="D251" s="5" t="s">
        <v>664</v>
      </c>
      <c r="E251" s="5" t="s">
        <v>665</v>
      </c>
      <c r="F251" s="6">
        <v>43706</v>
      </c>
      <c r="G251" s="5"/>
      <c r="H251" s="5" t="s">
        <v>176</v>
      </c>
      <c r="I251" s="5" t="s">
        <v>177</v>
      </c>
      <c r="J251" s="5" t="s">
        <v>33</v>
      </c>
      <c r="K251" s="7">
        <v>1970875</v>
      </c>
      <c r="L251" s="8">
        <v>354757.5</v>
      </c>
      <c r="M251" s="9">
        <f t="shared" si="3"/>
        <v>2325632.5</v>
      </c>
      <c r="N251" s="5" t="s">
        <v>34</v>
      </c>
    </row>
    <row r="252" spans="1:14">
      <c r="A252" s="3" t="s">
        <v>27</v>
      </c>
      <c r="B252" s="4">
        <v>20683</v>
      </c>
      <c r="C252" s="5" t="s">
        <v>248</v>
      </c>
      <c r="D252" s="5" t="s">
        <v>666</v>
      </c>
      <c r="E252" s="5" t="s">
        <v>667</v>
      </c>
      <c r="F252" s="6">
        <v>43708</v>
      </c>
      <c r="G252" s="5"/>
      <c r="H252" s="5" t="s">
        <v>176</v>
      </c>
      <c r="I252" s="5" t="s">
        <v>177</v>
      </c>
      <c r="J252" s="5" t="s">
        <v>33</v>
      </c>
      <c r="K252" s="7">
        <v>264600</v>
      </c>
      <c r="L252" s="8">
        <v>47628</v>
      </c>
      <c r="M252" s="9">
        <f t="shared" si="3"/>
        <v>312228</v>
      </c>
      <c r="N252" s="5" t="s">
        <v>34</v>
      </c>
    </row>
    <row r="253" spans="1:14">
      <c r="A253" s="3" t="s">
        <v>27</v>
      </c>
      <c r="B253" s="4">
        <v>377</v>
      </c>
      <c r="C253" s="5" t="s">
        <v>668</v>
      </c>
      <c r="D253" s="5" t="s">
        <v>669</v>
      </c>
      <c r="E253" s="5" t="s">
        <v>670</v>
      </c>
      <c r="F253" s="6">
        <v>43712</v>
      </c>
      <c r="G253" s="5"/>
      <c r="H253" s="5" t="s">
        <v>176</v>
      </c>
      <c r="I253" s="5" t="s">
        <v>177</v>
      </c>
      <c r="J253" s="5" t="s">
        <v>33</v>
      </c>
      <c r="K253" s="7">
        <v>44000</v>
      </c>
      <c r="L253" s="8">
        <v>7920</v>
      </c>
      <c r="M253" s="9">
        <f t="shared" si="3"/>
        <v>51920</v>
      </c>
      <c r="N253" s="5" t="s">
        <v>671</v>
      </c>
    </row>
    <row r="254" spans="1:14">
      <c r="A254" s="3" t="s">
        <v>27</v>
      </c>
      <c r="B254" s="4">
        <v>27862</v>
      </c>
      <c r="C254" s="5" t="s">
        <v>590</v>
      </c>
      <c r="D254" s="5" t="s">
        <v>672</v>
      </c>
      <c r="E254" s="5" t="s">
        <v>673</v>
      </c>
      <c r="F254" s="6">
        <v>43713</v>
      </c>
      <c r="G254" s="5"/>
      <c r="H254" s="5" t="s">
        <v>176</v>
      </c>
      <c r="I254" s="5" t="s">
        <v>177</v>
      </c>
      <c r="J254" s="5" t="s">
        <v>33</v>
      </c>
      <c r="K254" s="7">
        <v>240000</v>
      </c>
      <c r="L254" s="8">
        <v>43200</v>
      </c>
      <c r="M254" s="9">
        <f t="shared" si="3"/>
        <v>283200</v>
      </c>
      <c r="N254" s="5" t="s">
        <v>34</v>
      </c>
    </row>
    <row r="255" spans="1:14">
      <c r="A255" s="3" t="s">
        <v>27</v>
      </c>
      <c r="B255" s="4">
        <v>23949</v>
      </c>
      <c r="C255" s="5" t="s">
        <v>674</v>
      </c>
      <c r="D255" s="5" t="s">
        <v>675</v>
      </c>
      <c r="E255" s="5" t="s">
        <v>676</v>
      </c>
      <c r="F255" s="6">
        <v>43713</v>
      </c>
      <c r="G255" s="5"/>
      <c r="H255" s="5" t="s">
        <v>176</v>
      </c>
      <c r="I255" s="5" t="s">
        <v>177</v>
      </c>
      <c r="J255" s="5" t="s">
        <v>33</v>
      </c>
      <c r="K255" s="7">
        <v>121017.60000000001</v>
      </c>
      <c r="L255" s="8">
        <v>21783.16</v>
      </c>
      <c r="M255" s="9">
        <f t="shared" si="3"/>
        <v>142800.76</v>
      </c>
      <c r="N255" s="5" t="s">
        <v>34</v>
      </c>
    </row>
    <row r="256" spans="1:14">
      <c r="A256" s="3" t="s">
        <v>27</v>
      </c>
      <c r="B256" s="4">
        <v>26243</v>
      </c>
      <c r="C256" s="5" t="s">
        <v>328</v>
      </c>
      <c r="D256" s="5" t="s">
        <v>677</v>
      </c>
      <c r="E256" s="5" t="s">
        <v>678</v>
      </c>
      <c r="F256" s="6">
        <v>43713</v>
      </c>
      <c r="G256" s="5"/>
      <c r="H256" s="5" t="s">
        <v>176</v>
      </c>
      <c r="I256" s="5" t="s">
        <v>177</v>
      </c>
      <c r="J256" s="5" t="s">
        <v>33</v>
      </c>
      <c r="K256" s="7">
        <v>383500</v>
      </c>
      <c r="L256" s="8">
        <v>69030</v>
      </c>
      <c r="M256" s="9">
        <f t="shared" si="3"/>
        <v>452530</v>
      </c>
      <c r="N256" s="5" t="s">
        <v>34</v>
      </c>
    </row>
    <row r="257" spans="1:14">
      <c r="A257" s="3" t="s">
        <v>27</v>
      </c>
      <c r="B257" s="4">
        <v>18560</v>
      </c>
      <c r="C257" s="5" t="s">
        <v>133</v>
      </c>
      <c r="D257" s="5" t="s">
        <v>679</v>
      </c>
      <c r="E257" s="5" t="s">
        <v>680</v>
      </c>
      <c r="F257" s="6">
        <v>43714</v>
      </c>
      <c r="G257" s="5"/>
      <c r="H257" s="5" t="s">
        <v>176</v>
      </c>
      <c r="I257" s="5" t="s">
        <v>177</v>
      </c>
      <c r="J257" s="5" t="s">
        <v>33</v>
      </c>
      <c r="K257" s="7">
        <v>287850</v>
      </c>
      <c r="L257" s="8">
        <v>51813</v>
      </c>
      <c r="M257" s="9">
        <f t="shared" si="3"/>
        <v>339663</v>
      </c>
      <c r="N257" s="5" t="s">
        <v>34</v>
      </c>
    </row>
    <row r="258" spans="1:14">
      <c r="A258" s="3" t="s">
        <v>27</v>
      </c>
      <c r="B258" s="4">
        <v>26248</v>
      </c>
      <c r="C258" s="5" t="s">
        <v>284</v>
      </c>
      <c r="D258" s="5" t="s">
        <v>681</v>
      </c>
      <c r="E258" s="5" t="s">
        <v>682</v>
      </c>
      <c r="F258" s="6">
        <v>43714</v>
      </c>
      <c r="G258" s="5"/>
      <c r="H258" s="5" t="s">
        <v>176</v>
      </c>
      <c r="I258" s="5" t="s">
        <v>177</v>
      </c>
      <c r="J258" s="5" t="s">
        <v>33</v>
      </c>
      <c r="K258" s="7">
        <v>251250</v>
      </c>
      <c r="L258" s="8">
        <v>45225</v>
      </c>
      <c r="M258" s="9">
        <f t="shared" ref="M258:M321" si="4">+K258+L258</f>
        <v>296475</v>
      </c>
      <c r="N258" s="5" t="s">
        <v>34</v>
      </c>
    </row>
    <row r="259" spans="1:14">
      <c r="A259" s="3" t="s">
        <v>27</v>
      </c>
      <c r="B259" s="4">
        <v>21724</v>
      </c>
      <c r="C259" s="5" t="s">
        <v>406</v>
      </c>
      <c r="D259" s="5" t="s">
        <v>683</v>
      </c>
      <c r="E259" s="5" t="s">
        <v>684</v>
      </c>
      <c r="F259" s="6">
        <v>43714</v>
      </c>
      <c r="G259" s="5"/>
      <c r="H259" s="5" t="s">
        <v>176</v>
      </c>
      <c r="I259" s="5" t="s">
        <v>177</v>
      </c>
      <c r="J259" s="5" t="s">
        <v>33</v>
      </c>
      <c r="K259" s="7">
        <v>86000</v>
      </c>
      <c r="L259" s="8">
        <v>15480</v>
      </c>
      <c r="M259" s="9">
        <f t="shared" si="4"/>
        <v>101480</v>
      </c>
      <c r="N259" s="5" t="s">
        <v>34</v>
      </c>
    </row>
    <row r="260" spans="1:14">
      <c r="A260" s="3" t="s">
        <v>27</v>
      </c>
      <c r="B260" s="4">
        <v>1885</v>
      </c>
      <c r="C260" s="5" t="s">
        <v>340</v>
      </c>
      <c r="D260" s="5" t="s">
        <v>685</v>
      </c>
      <c r="E260" s="5" t="s">
        <v>686</v>
      </c>
      <c r="F260" s="6">
        <v>43714</v>
      </c>
      <c r="G260" s="5"/>
      <c r="H260" s="5" t="s">
        <v>176</v>
      </c>
      <c r="I260" s="5" t="s">
        <v>177</v>
      </c>
      <c r="J260" s="5" t="s">
        <v>33</v>
      </c>
      <c r="K260" s="7">
        <v>413400</v>
      </c>
      <c r="L260" s="8">
        <v>74412</v>
      </c>
      <c r="M260" s="9">
        <f t="shared" si="4"/>
        <v>487812</v>
      </c>
      <c r="N260" s="5" t="s">
        <v>34</v>
      </c>
    </row>
    <row r="261" spans="1:14">
      <c r="A261" s="3" t="s">
        <v>27</v>
      </c>
      <c r="B261" s="4">
        <v>26248</v>
      </c>
      <c r="C261" s="5" t="s">
        <v>284</v>
      </c>
      <c r="D261" s="5" t="s">
        <v>687</v>
      </c>
      <c r="E261" s="5" t="s">
        <v>688</v>
      </c>
      <c r="F261" s="6">
        <v>43717</v>
      </c>
      <c r="G261" s="5"/>
      <c r="H261" s="5" t="s">
        <v>176</v>
      </c>
      <c r="I261" s="5" t="s">
        <v>177</v>
      </c>
      <c r="J261" s="5" t="s">
        <v>33</v>
      </c>
      <c r="K261" s="7">
        <v>138005</v>
      </c>
      <c r="L261" s="8">
        <v>24840.9</v>
      </c>
      <c r="M261" s="9">
        <f t="shared" si="4"/>
        <v>162845.9</v>
      </c>
      <c r="N261" s="5" t="s">
        <v>34</v>
      </c>
    </row>
    <row r="262" spans="1:14">
      <c r="A262" s="3" t="s">
        <v>27</v>
      </c>
      <c r="B262" s="4">
        <v>27490</v>
      </c>
      <c r="C262" s="5" t="s">
        <v>385</v>
      </c>
      <c r="D262" s="5" t="s">
        <v>689</v>
      </c>
      <c r="E262" s="5" t="s">
        <v>690</v>
      </c>
      <c r="F262" s="6">
        <v>43717</v>
      </c>
      <c r="G262" s="5"/>
      <c r="H262" s="5" t="s">
        <v>176</v>
      </c>
      <c r="I262" s="5" t="s">
        <v>177</v>
      </c>
      <c r="J262" s="5" t="s">
        <v>33</v>
      </c>
      <c r="K262" s="7">
        <v>270640</v>
      </c>
      <c r="L262" s="8">
        <v>48715.199999999997</v>
      </c>
      <c r="M262" s="9">
        <f t="shared" si="4"/>
        <v>319355.2</v>
      </c>
      <c r="N262" s="5" t="s">
        <v>34</v>
      </c>
    </row>
    <row r="263" spans="1:14">
      <c r="A263" s="3" t="s">
        <v>27</v>
      </c>
      <c r="B263" s="4">
        <v>25207</v>
      </c>
      <c r="C263" s="5" t="s">
        <v>691</v>
      </c>
      <c r="D263" s="5" t="s">
        <v>692</v>
      </c>
      <c r="E263" s="5" t="s">
        <v>693</v>
      </c>
      <c r="F263" s="6">
        <v>43719</v>
      </c>
      <c r="G263" s="5"/>
      <c r="H263" s="5" t="s">
        <v>176</v>
      </c>
      <c r="I263" s="5" t="s">
        <v>177</v>
      </c>
      <c r="J263" s="5" t="s">
        <v>33</v>
      </c>
      <c r="K263" s="7">
        <v>58165</v>
      </c>
      <c r="L263" s="8">
        <v>1035</v>
      </c>
      <c r="M263" s="9">
        <f t="shared" si="4"/>
        <v>59200</v>
      </c>
      <c r="N263" s="5" t="s">
        <v>34</v>
      </c>
    </row>
    <row r="264" spans="1:14">
      <c r="A264" s="3" t="s">
        <v>27</v>
      </c>
      <c r="B264" s="4">
        <v>27996</v>
      </c>
      <c r="C264" s="5" t="s">
        <v>694</v>
      </c>
      <c r="D264" s="11" t="s">
        <v>695</v>
      </c>
      <c r="E264" s="5" t="s">
        <v>696</v>
      </c>
      <c r="F264" s="6">
        <v>43720</v>
      </c>
      <c r="G264" s="5"/>
      <c r="H264" s="5" t="s">
        <v>411</v>
      </c>
      <c r="I264" s="5" t="s">
        <v>177</v>
      </c>
      <c r="J264" s="5" t="s">
        <v>33</v>
      </c>
      <c r="K264" s="7">
        <v>996400</v>
      </c>
      <c r="L264" s="8">
        <v>179352</v>
      </c>
      <c r="M264" s="9">
        <f t="shared" si="4"/>
        <v>1175752</v>
      </c>
      <c r="N264" s="5" t="s">
        <v>34</v>
      </c>
    </row>
    <row r="265" spans="1:14">
      <c r="A265" s="3" t="s">
        <v>27</v>
      </c>
      <c r="B265" s="4">
        <v>20995</v>
      </c>
      <c r="C265" s="5" t="s">
        <v>380</v>
      </c>
      <c r="D265" s="5" t="s">
        <v>697</v>
      </c>
      <c r="E265" s="5" t="s">
        <v>698</v>
      </c>
      <c r="F265" s="6">
        <v>43720</v>
      </c>
      <c r="G265" s="5"/>
      <c r="H265" s="5" t="s">
        <v>176</v>
      </c>
      <c r="I265" s="5" t="s">
        <v>177</v>
      </c>
      <c r="J265" s="5" t="s">
        <v>33</v>
      </c>
      <c r="K265" s="7">
        <v>925794.24</v>
      </c>
      <c r="L265" s="8">
        <v>166642.96</v>
      </c>
      <c r="M265" s="9">
        <f t="shared" si="4"/>
        <v>1092437.2</v>
      </c>
      <c r="N265" s="5" t="s">
        <v>34</v>
      </c>
    </row>
    <row r="266" spans="1:14">
      <c r="A266" s="3" t="s">
        <v>27</v>
      </c>
      <c r="B266" s="4">
        <v>17859</v>
      </c>
      <c r="C266" s="5" t="s">
        <v>582</v>
      </c>
      <c r="D266" s="5" t="s">
        <v>699</v>
      </c>
      <c r="E266" s="5" t="s">
        <v>700</v>
      </c>
      <c r="F266" s="6">
        <v>43720</v>
      </c>
      <c r="G266" s="5"/>
      <c r="H266" s="5" t="s">
        <v>176</v>
      </c>
      <c r="I266" s="5" t="s">
        <v>177</v>
      </c>
      <c r="J266" s="5" t="s">
        <v>33</v>
      </c>
      <c r="K266" s="7">
        <v>3000</v>
      </c>
      <c r="L266" s="8">
        <v>540</v>
      </c>
      <c r="M266" s="9">
        <f t="shared" si="4"/>
        <v>3540</v>
      </c>
      <c r="N266" s="5" t="s">
        <v>34</v>
      </c>
    </row>
    <row r="267" spans="1:14">
      <c r="A267" s="3" t="s">
        <v>27</v>
      </c>
      <c r="B267" s="4">
        <v>26681</v>
      </c>
      <c r="C267" s="5" t="s">
        <v>385</v>
      </c>
      <c r="D267" s="5" t="s">
        <v>701</v>
      </c>
      <c r="E267" s="5" t="s">
        <v>702</v>
      </c>
      <c r="F267" s="6">
        <v>43722</v>
      </c>
      <c r="G267" s="5"/>
      <c r="H267" s="5" t="s">
        <v>176</v>
      </c>
      <c r="I267" s="5" t="s">
        <v>177</v>
      </c>
      <c r="J267" s="5" t="s">
        <v>33</v>
      </c>
      <c r="K267" s="7">
        <v>378170</v>
      </c>
      <c r="L267" s="8">
        <v>68070.600000000006</v>
      </c>
      <c r="M267" s="9">
        <f t="shared" si="4"/>
        <v>446240.6</v>
      </c>
      <c r="N267" s="5" t="s">
        <v>34</v>
      </c>
    </row>
    <row r="268" spans="1:14">
      <c r="A268" s="3" t="s">
        <v>27</v>
      </c>
      <c r="B268" s="4">
        <v>22329</v>
      </c>
      <c r="C268" s="5" t="s">
        <v>350</v>
      </c>
      <c r="D268" s="5" t="s">
        <v>703</v>
      </c>
      <c r="E268" s="5" t="s">
        <v>704</v>
      </c>
      <c r="F268" s="6">
        <v>43727</v>
      </c>
      <c r="G268" s="5"/>
      <c r="H268" s="5" t="s">
        <v>176</v>
      </c>
      <c r="I268" s="5" t="s">
        <v>177</v>
      </c>
      <c r="J268" s="5" t="s">
        <v>33</v>
      </c>
      <c r="K268" s="7">
        <v>676400</v>
      </c>
      <c r="L268" s="8">
        <v>121752</v>
      </c>
      <c r="M268" s="9">
        <f t="shared" si="4"/>
        <v>798152</v>
      </c>
      <c r="N268" s="5" t="s">
        <v>34</v>
      </c>
    </row>
    <row r="269" spans="1:14">
      <c r="A269" s="3" t="s">
        <v>27</v>
      </c>
      <c r="B269" s="4">
        <v>24978</v>
      </c>
      <c r="C269" s="5" t="s">
        <v>97</v>
      </c>
      <c r="D269" s="5" t="s">
        <v>705</v>
      </c>
      <c r="E269" s="5" t="s">
        <v>706</v>
      </c>
      <c r="F269" s="6">
        <v>43727</v>
      </c>
      <c r="G269" s="5"/>
      <c r="H269" s="5" t="s">
        <v>31</v>
      </c>
      <c r="I269" s="5" t="s">
        <v>32</v>
      </c>
      <c r="J269" s="5" t="s">
        <v>33</v>
      </c>
      <c r="K269" s="7">
        <v>100000</v>
      </c>
      <c r="L269" s="8">
        <v>18000</v>
      </c>
      <c r="M269" s="9">
        <f t="shared" si="4"/>
        <v>118000</v>
      </c>
      <c r="N269" s="5" t="s">
        <v>34</v>
      </c>
    </row>
    <row r="270" spans="1:14">
      <c r="A270" s="3" t="s">
        <v>27</v>
      </c>
      <c r="B270" s="4">
        <v>28017</v>
      </c>
      <c r="C270" s="5" t="s">
        <v>707</v>
      </c>
      <c r="D270" s="5" t="s">
        <v>708</v>
      </c>
      <c r="E270" s="5" t="s">
        <v>709</v>
      </c>
      <c r="F270" s="6">
        <v>43727</v>
      </c>
      <c r="G270" s="5"/>
      <c r="H270" s="5" t="s">
        <v>176</v>
      </c>
      <c r="I270" s="5" t="s">
        <v>177</v>
      </c>
      <c r="J270" s="5" t="s">
        <v>33</v>
      </c>
      <c r="K270" s="7">
        <v>230400</v>
      </c>
      <c r="L270" s="8">
        <v>41472</v>
      </c>
      <c r="M270" s="9">
        <f t="shared" si="4"/>
        <v>271872</v>
      </c>
      <c r="N270" s="5" t="s">
        <v>34</v>
      </c>
    </row>
    <row r="271" spans="1:14">
      <c r="A271" s="3" t="s">
        <v>27</v>
      </c>
      <c r="B271" s="4">
        <v>18560</v>
      </c>
      <c r="C271" s="5" t="s">
        <v>133</v>
      </c>
      <c r="D271" s="5" t="s">
        <v>710</v>
      </c>
      <c r="E271" s="5" t="s">
        <v>711</v>
      </c>
      <c r="F271" s="6">
        <v>43728</v>
      </c>
      <c r="G271" s="5"/>
      <c r="H271" s="5" t="s">
        <v>176</v>
      </c>
      <c r="I271" s="5" t="s">
        <v>177</v>
      </c>
      <c r="J271" s="5" t="s">
        <v>33</v>
      </c>
      <c r="K271" s="7">
        <v>2287100</v>
      </c>
      <c r="L271" s="8">
        <v>411678</v>
      </c>
      <c r="M271" s="9">
        <f t="shared" si="4"/>
        <v>2698778</v>
      </c>
      <c r="N271" s="5" t="s">
        <v>34</v>
      </c>
    </row>
    <row r="272" spans="1:14">
      <c r="A272" s="3" t="s">
        <v>27</v>
      </c>
      <c r="B272" s="4">
        <v>18560</v>
      </c>
      <c r="C272" s="5" t="s">
        <v>133</v>
      </c>
      <c r="D272" s="5" t="s">
        <v>712</v>
      </c>
      <c r="E272" s="5" t="s">
        <v>713</v>
      </c>
      <c r="F272" s="6">
        <v>43729</v>
      </c>
      <c r="G272" s="5"/>
      <c r="H272" s="5" t="s">
        <v>176</v>
      </c>
      <c r="I272" s="5" t="s">
        <v>177</v>
      </c>
      <c r="J272" s="5" t="s">
        <v>33</v>
      </c>
      <c r="K272" s="7">
        <v>2385121.9470000002</v>
      </c>
      <c r="L272" s="8">
        <v>429322.02</v>
      </c>
      <c r="M272" s="9">
        <f t="shared" si="4"/>
        <v>2814443.9670000002</v>
      </c>
      <c r="N272" s="5" t="s">
        <v>34</v>
      </c>
    </row>
    <row r="273" spans="1:14">
      <c r="A273" s="3" t="s">
        <v>27</v>
      </c>
      <c r="B273" s="4">
        <v>3655</v>
      </c>
      <c r="C273" s="5" t="s">
        <v>377</v>
      </c>
      <c r="D273" s="5" t="s">
        <v>714</v>
      </c>
      <c r="E273" s="5" t="s">
        <v>715</v>
      </c>
      <c r="F273" s="6">
        <v>43729</v>
      </c>
      <c r="G273" s="5"/>
      <c r="H273" s="5" t="s">
        <v>176</v>
      </c>
      <c r="I273" s="5" t="s">
        <v>177</v>
      </c>
      <c r="J273" s="5" t="s">
        <v>33</v>
      </c>
      <c r="K273" s="7">
        <v>2281254.7799999998</v>
      </c>
      <c r="L273" s="8">
        <v>410625.85</v>
      </c>
      <c r="M273" s="9">
        <f t="shared" si="4"/>
        <v>2691880.63</v>
      </c>
      <c r="N273" s="5" t="s">
        <v>34</v>
      </c>
    </row>
    <row r="274" spans="1:14">
      <c r="A274" s="3" t="s">
        <v>27</v>
      </c>
      <c r="B274" s="4">
        <v>27092</v>
      </c>
      <c r="C274" s="5" t="s">
        <v>308</v>
      </c>
      <c r="D274" s="5" t="s">
        <v>716</v>
      </c>
      <c r="E274" s="5" t="s">
        <v>717</v>
      </c>
      <c r="F274" s="6">
        <v>43731</v>
      </c>
      <c r="G274" s="5"/>
      <c r="H274" s="5" t="s">
        <v>176</v>
      </c>
      <c r="I274" s="5" t="s">
        <v>177</v>
      </c>
      <c r="J274" s="5" t="s">
        <v>33</v>
      </c>
      <c r="K274" s="7">
        <v>2089940</v>
      </c>
      <c r="L274" s="8">
        <v>376189.2</v>
      </c>
      <c r="M274" s="9">
        <f t="shared" si="4"/>
        <v>2466129.2000000002</v>
      </c>
      <c r="N274" s="5" t="s">
        <v>34</v>
      </c>
    </row>
    <row r="275" spans="1:14">
      <c r="A275" s="3" t="s">
        <v>27</v>
      </c>
      <c r="B275" s="4">
        <v>26243</v>
      </c>
      <c r="C275" s="5" t="s">
        <v>328</v>
      </c>
      <c r="D275" s="5" t="s">
        <v>718</v>
      </c>
      <c r="E275" s="5" t="s">
        <v>719</v>
      </c>
      <c r="F275" s="6">
        <v>43731</v>
      </c>
      <c r="G275" s="5"/>
      <c r="H275" s="5" t="s">
        <v>176</v>
      </c>
      <c r="I275" s="5" t="s">
        <v>177</v>
      </c>
      <c r="J275" s="5" t="s">
        <v>33</v>
      </c>
      <c r="K275" s="7">
        <v>774000</v>
      </c>
      <c r="L275" s="8">
        <v>139320</v>
      </c>
      <c r="M275" s="9">
        <f t="shared" si="4"/>
        <v>913320</v>
      </c>
      <c r="N275" s="5" t="s">
        <v>34</v>
      </c>
    </row>
    <row r="276" spans="1:14">
      <c r="A276" s="3" t="s">
        <v>27</v>
      </c>
      <c r="B276" s="4">
        <v>25457</v>
      </c>
      <c r="C276" s="5" t="s">
        <v>720</v>
      </c>
      <c r="D276" s="5" t="s">
        <v>721</v>
      </c>
      <c r="E276" s="5" t="s">
        <v>722</v>
      </c>
      <c r="F276" s="6">
        <v>43731</v>
      </c>
      <c r="G276" s="5"/>
      <c r="H276" s="5" t="s">
        <v>176</v>
      </c>
      <c r="I276" s="5" t="s">
        <v>177</v>
      </c>
      <c r="J276" s="5" t="s">
        <v>33</v>
      </c>
      <c r="K276" s="7">
        <v>380000</v>
      </c>
      <c r="L276" s="8">
        <v>68400</v>
      </c>
      <c r="M276" s="9">
        <f t="shared" si="4"/>
        <v>448400</v>
      </c>
      <c r="N276" s="5" t="s">
        <v>34</v>
      </c>
    </row>
    <row r="277" spans="1:14">
      <c r="A277" s="3" t="s">
        <v>27</v>
      </c>
      <c r="B277" s="4">
        <v>22480</v>
      </c>
      <c r="C277" s="5" t="s">
        <v>241</v>
      </c>
      <c r="D277" s="5" t="s">
        <v>723</v>
      </c>
      <c r="E277" s="5" t="s">
        <v>724</v>
      </c>
      <c r="F277" s="6">
        <v>43731</v>
      </c>
      <c r="G277" s="5"/>
      <c r="H277" s="5" t="s">
        <v>176</v>
      </c>
      <c r="I277" s="5" t="s">
        <v>177</v>
      </c>
      <c r="J277" s="5" t="s">
        <v>33</v>
      </c>
      <c r="K277" s="7">
        <v>982000</v>
      </c>
      <c r="L277" s="8">
        <v>176760</v>
      </c>
      <c r="M277" s="9">
        <f t="shared" si="4"/>
        <v>1158760</v>
      </c>
      <c r="N277" s="5" t="s">
        <v>34</v>
      </c>
    </row>
    <row r="278" spans="1:14">
      <c r="A278" s="3" t="s">
        <v>27</v>
      </c>
      <c r="B278" s="4">
        <v>17537</v>
      </c>
      <c r="C278" s="5" t="s">
        <v>441</v>
      </c>
      <c r="D278" s="5" t="s">
        <v>725</v>
      </c>
      <c r="E278" s="5" t="s">
        <v>726</v>
      </c>
      <c r="F278" s="6">
        <v>43731</v>
      </c>
      <c r="G278" s="5"/>
      <c r="H278" s="5" t="s">
        <v>176</v>
      </c>
      <c r="I278" s="5" t="s">
        <v>177</v>
      </c>
      <c r="J278" s="5" t="s">
        <v>33</v>
      </c>
      <c r="K278" s="7">
        <v>90000</v>
      </c>
      <c r="L278" s="8">
        <v>16200</v>
      </c>
      <c r="M278" s="9">
        <f t="shared" si="4"/>
        <v>106200</v>
      </c>
      <c r="N278" s="5" t="s">
        <v>34</v>
      </c>
    </row>
    <row r="279" spans="1:14">
      <c r="A279" s="12" t="s">
        <v>27</v>
      </c>
      <c r="B279" s="13">
        <v>27179</v>
      </c>
      <c r="C279" s="14" t="s">
        <v>727</v>
      </c>
      <c r="D279" s="14" t="s">
        <v>728</v>
      </c>
      <c r="E279" s="14" t="s">
        <v>729</v>
      </c>
      <c r="F279" s="6">
        <v>43732</v>
      </c>
      <c r="G279" s="14"/>
      <c r="H279" s="14" t="s">
        <v>730</v>
      </c>
      <c r="I279" s="14" t="s">
        <v>177</v>
      </c>
      <c r="J279" s="14" t="s">
        <v>33</v>
      </c>
      <c r="K279" s="15">
        <v>123001</v>
      </c>
      <c r="L279" s="16">
        <v>27119.82</v>
      </c>
      <c r="M279" s="9">
        <f t="shared" si="4"/>
        <v>150120.82</v>
      </c>
      <c r="N279" s="14" t="s">
        <v>731</v>
      </c>
    </row>
    <row r="280" spans="1:14">
      <c r="A280" s="3" t="s">
        <v>27</v>
      </c>
      <c r="B280" s="4">
        <v>12015</v>
      </c>
      <c r="C280" s="5" t="s">
        <v>391</v>
      </c>
      <c r="D280" s="5" t="s">
        <v>732</v>
      </c>
      <c r="E280" s="5" t="s">
        <v>733</v>
      </c>
      <c r="F280" s="6">
        <v>43732</v>
      </c>
      <c r="G280" s="5"/>
      <c r="H280" s="5" t="s">
        <v>176</v>
      </c>
      <c r="I280" s="5" t="s">
        <v>177</v>
      </c>
      <c r="J280" s="5" t="s">
        <v>33</v>
      </c>
      <c r="K280" s="7">
        <v>855000</v>
      </c>
      <c r="L280" s="8">
        <v>153900</v>
      </c>
      <c r="M280" s="9">
        <f t="shared" si="4"/>
        <v>1008900</v>
      </c>
      <c r="N280" s="5" t="s">
        <v>34</v>
      </c>
    </row>
    <row r="281" spans="1:14">
      <c r="A281" s="3" t="s">
        <v>27</v>
      </c>
      <c r="B281" s="4">
        <v>280</v>
      </c>
      <c r="C281" s="5" t="s">
        <v>734</v>
      </c>
      <c r="D281" s="5" t="s">
        <v>735</v>
      </c>
      <c r="E281" s="5" t="s">
        <v>736</v>
      </c>
      <c r="F281" s="6">
        <v>43734</v>
      </c>
      <c r="G281" s="5"/>
      <c r="H281" s="5" t="s">
        <v>176</v>
      </c>
      <c r="I281" s="5" t="s">
        <v>177</v>
      </c>
      <c r="J281" s="5" t="s">
        <v>33</v>
      </c>
      <c r="K281" s="7">
        <v>90800</v>
      </c>
      <c r="L281" s="8">
        <v>16344</v>
      </c>
      <c r="M281" s="9">
        <f t="shared" si="4"/>
        <v>107144</v>
      </c>
      <c r="N281" s="5" t="s">
        <v>34</v>
      </c>
    </row>
    <row r="282" spans="1:14">
      <c r="A282" s="3" t="s">
        <v>27</v>
      </c>
      <c r="B282" s="4">
        <v>26248</v>
      </c>
      <c r="C282" s="5" t="s">
        <v>284</v>
      </c>
      <c r="D282" s="5" t="s">
        <v>737</v>
      </c>
      <c r="E282" s="5" t="s">
        <v>738</v>
      </c>
      <c r="F282" s="6">
        <v>43734</v>
      </c>
      <c r="G282" s="5"/>
      <c r="H282" s="5" t="s">
        <v>176</v>
      </c>
      <c r="I282" s="5" t="s">
        <v>177</v>
      </c>
      <c r="J282" s="5" t="s">
        <v>33</v>
      </c>
      <c r="K282" s="7">
        <v>2262050</v>
      </c>
      <c r="L282" s="8">
        <v>407169</v>
      </c>
      <c r="M282" s="9">
        <f t="shared" si="4"/>
        <v>2669219</v>
      </c>
      <c r="N282" s="5" t="s">
        <v>34</v>
      </c>
    </row>
    <row r="283" spans="1:14">
      <c r="A283" s="3" t="s">
        <v>27</v>
      </c>
      <c r="B283" s="4">
        <v>26781</v>
      </c>
      <c r="C283" s="5" t="s">
        <v>224</v>
      </c>
      <c r="D283" s="5" t="s">
        <v>739</v>
      </c>
      <c r="E283" s="5" t="s">
        <v>740</v>
      </c>
      <c r="F283" s="6">
        <v>43736</v>
      </c>
      <c r="G283" s="5"/>
      <c r="H283" s="5" t="s">
        <v>176</v>
      </c>
      <c r="I283" s="5" t="s">
        <v>177</v>
      </c>
      <c r="J283" s="5" t="s">
        <v>33</v>
      </c>
      <c r="K283" s="7">
        <v>156000</v>
      </c>
      <c r="L283" s="8">
        <v>28080</v>
      </c>
      <c r="M283" s="9">
        <f t="shared" si="4"/>
        <v>184080</v>
      </c>
      <c r="N283" s="5" t="s">
        <v>34</v>
      </c>
    </row>
    <row r="284" spans="1:14">
      <c r="A284" s="3" t="s">
        <v>27</v>
      </c>
      <c r="B284" s="4">
        <v>20973</v>
      </c>
      <c r="C284" s="5" t="s">
        <v>741</v>
      </c>
      <c r="D284" s="5" t="s">
        <v>742</v>
      </c>
      <c r="E284" s="5" t="s">
        <v>743</v>
      </c>
      <c r="F284" s="6">
        <v>43738</v>
      </c>
      <c r="G284" s="5"/>
      <c r="H284" s="5" t="s">
        <v>176</v>
      </c>
      <c r="I284" s="5" t="s">
        <v>177</v>
      </c>
      <c r="J284" s="5" t="s">
        <v>33</v>
      </c>
      <c r="K284" s="7">
        <v>860000</v>
      </c>
      <c r="L284" s="8">
        <v>154800</v>
      </c>
      <c r="M284" s="9">
        <f t="shared" si="4"/>
        <v>1014800</v>
      </c>
      <c r="N284" s="5" t="s">
        <v>34</v>
      </c>
    </row>
    <row r="285" spans="1:14">
      <c r="A285" s="3" t="s">
        <v>27</v>
      </c>
      <c r="B285" s="4">
        <v>21161</v>
      </c>
      <c r="C285" s="5" t="s">
        <v>363</v>
      </c>
      <c r="D285" s="5" t="s">
        <v>744</v>
      </c>
      <c r="E285" s="5" t="s">
        <v>745</v>
      </c>
      <c r="F285" s="6">
        <v>43738</v>
      </c>
      <c r="G285" s="5"/>
      <c r="H285" s="5" t="s">
        <v>176</v>
      </c>
      <c r="I285" s="5" t="s">
        <v>177</v>
      </c>
      <c r="J285" s="5" t="s">
        <v>33</v>
      </c>
      <c r="K285" s="7">
        <v>2970750</v>
      </c>
      <c r="L285" s="8">
        <v>534735</v>
      </c>
      <c r="M285" s="9">
        <f t="shared" si="4"/>
        <v>3505485</v>
      </c>
      <c r="N285" s="5" t="s">
        <v>34</v>
      </c>
    </row>
    <row r="286" spans="1:14">
      <c r="A286" s="3" t="s">
        <v>27</v>
      </c>
      <c r="B286" s="4">
        <v>3490</v>
      </c>
      <c r="C286" s="5" t="s">
        <v>746</v>
      </c>
      <c r="D286" s="11" t="s">
        <v>747</v>
      </c>
      <c r="E286" s="5" t="s">
        <v>748</v>
      </c>
      <c r="F286" s="6">
        <v>43741</v>
      </c>
      <c r="G286" s="5"/>
      <c r="H286" s="5" t="s">
        <v>411</v>
      </c>
      <c r="I286" s="5" t="s">
        <v>177</v>
      </c>
      <c r="J286" s="5" t="s">
        <v>33</v>
      </c>
      <c r="K286" s="7">
        <v>66750</v>
      </c>
      <c r="L286" s="8">
        <v>12015</v>
      </c>
      <c r="M286" s="9">
        <f t="shared" si="4"/>
        <v>78765</v>
      </c>
      <c r="N286" s="5" t="s">
        <v>474</v>
      </c>
    </row>
    <row r="287" spans="1:14">
      <c r="A287" s="3" t="s">
        <v>27</v>
      </c>
      <c r="B287" s="4">
        <v>2571</v>
      </c>
      <c r="C287" s="5" t="s">
        <v>749</v>
      </c>
      <c r="D287" s="5" t="s">
        <v>750</v>
      </c>
      <c r="E287" s="5" t="s">
        <v>751</v>
      </c>
      <c r="F287" s="6">
        <v>43742</v>
      </c>
      <c r="G287" s="5"/>
      <c r="H287" s="5" t="s">
        <v>176</v>
      </c>
      <c r="I287" s="5" t="s">
        <v>177</v>
      </c>
      <c r="J287" s="5" t="s">
        <v>33</v>
      </c>
      <c r="K287" s="7">
        <v>17000</v>
      </c>
      <c r="L287" s="8">
        <v>3060</v>
      </c>
      <c r="M287" s="9">
        <f t="shared" si="4"/>
        <v>20060</v>
      </c>
      <c r="N287" s="5" t="s">
        <v>671</v>
      </c>
    </row>
    <row r="288" spans="1:14">
      <c r="A288" s="3" t="s">
        <v>27</v>
      </c>
      <c r="B288" s="4">
        <v>1885</v>
      </c>
      <c r="C288" s="5" t="s">
        <v>340</v>
      </c>
      <c r="D288" s="5" t="s">
        <v>752</v>
      </c>
      <c r="E288" s="5" t="s">
        <v>753</v>
      </c>
      <c r="F288" s="6">
        <v>43742</v>
      </c>
      <c r="G288" s="5"/>
      <c r="H288" s="5" t="s">
        <v>176</v>
      </c>
      <c r="I288" s="5" t="s">
        <v>177</v>
      </c>
      <c r="J288" s="5" t="s">
        <v>33</v>
      </c>
      <c r="K288" s="7">
        <v>152800</v>
      </c>
      <c r="L288" s="8">
        <v>27504</v>
      </c>
      <c r="M288" s="9">
        <f t="shared" si="4"/>
        <v>180304</v>
      </c>
      <c r="N288" s="5" t="s">
        <v>34</v>
      </c>
    </row>
    <row r="289" spans="1:14">
      <c r="A289" s="3" t="s">
        <v>27</v>
      </c>
      <c r="B289" s="4">
        <v>24978</v>
      </c>
      <c r="C289" s="5" t="s">
        <v>97</v>
      </c>
      <c r="D289" s="5" t="s">
        <v>754</v>
      </c>
      <c r="E289" s="5" t="s">
        <v>755</v>
      </c>
      <c r="F289" s="6">
        <v>43748</v>
      </c>
      <c r="G289" s="5"/>
      <c r="H289" s="5" t="s">
        <v>176</v>
      </c>
      <c r="I289" s="5" t="s">
        <v>177</v>
      </c>
      <c r="J289" s="5" t="s">
        <v>33</v>
      </c>
      <c r="K289" s="7">
        <v>285000</v>
      </c>
      <c r="L289" s="8">
        <v>51300</v>
      </c>
      <c r="M289" s="9">
        <f t="shared" si="4"/>
        <v>336300</v>
      </c>
      <c r="N289" s="5" t="s">
        <v>34</v>
      </c>
    </row>
    <row r="290" spans="1:14">
      <c r="A290" s="3" t="s">
        <v>27</v>
      </c>
      <c r="B290" s="4">
        <v>1885</v>
      </c>
      <c r="C290" s="5" t="s">
        <v>340</v>
      </c>
      <c r="D290" s="5" t="s">
        <v>756</v>
      </c>
      <c r="E290" s="5" t="s">
        <v>757</v>
      </c>
      <c r="F290" s="6">
        <v>43748</v>
      </c>
      <c r="G290" s="5"/>
      <c r="H290" s="5" t="s">
        <v>176</v>
      </c>
      <c r="I290" s="5" t="s">
        <v>177</v>
      </c>
      <c r="J290" s="5" t="s">
        <v>33</v>
      </c>
      <c r="K290" s="7">
        <v>288350</v>
      </c>
      <c r="L290" s="8">
        <v>51903</v>
      </c>
      <c r="M290" s="9">
        <f t="shared" si="4"/>
        <v>340253</v>
      </c>
      <c r="N290" s="5" t="s">
        <v>34</v>
      </c>
    </row>
    <row r="291" spans="1:14">
      <c r="A291" s="3" t="s">
        <v>27</v>
      </c>
      <c r="B291" s="4">
        <v>3286</v>
      </c>
      <c r="C291" s="5" t="s">
        <v>640</v>
      </c>
      <c r="D291" s="5" t="s">
        <v>758</v>
      </c>
      <c r="E291" s="5" t="s">
        <v>759</v>
      </c>
      <c r="F291" s="6">
        <v>43749</v>
      </c>
      <c r="G291" s="5"/>
      <c r="H291" s="5" t="s">
        <v>176</v>
      </c>
      <c r="I291" s="5" t="s">
        <v>177</v>
      </c>
      <c r="J291" s="5" t="s">
        <v>33</v>
      </c>
      <c r="K291" s="7">
        <v>3066740</v>
      </c>
      <c r="L291" s="8">
        <v>552013.19999999995</v>
      </c>
      <c r="M291" s="9">
        <f t="shared" si="4"/>
        <v>3618753.2</v>
      </c>
      <c r="N291" s="5" t="s">
        <v>34</v>
      </c>
    </row>
    <row r="292" spans="1:14">
      <c r="A292" s="3" t="s">
        <v>27</v>
      </c>
      <c r="B292" s="4">
        <v>22480</v>
      </c>
      <c r="C292" s="5" t="s">
        <v>241</v>
      </c>
      <c r="D292" s="5" t="s">
        <v>760</v>
      </c>
      <c r="E292" s="5" t="s">
        <v>761</v>
      </c>
      <c r="F292" s="6">
        <v>43752</v>
      </c>
      <c r="G292" s="5"/>
      <c r="H292" s="5" t="s">
        <v>176</v>
      </c>
      <c r="I292" s="5" t="s">
        <v>177</v>
      </c>
      <c r="J292" s="5" t="s">
        <v>33</v>
      </c>
      <c r="K292" s="7">
        <v>3480000</v>
      </c>
      <c r="L292" s="8">
        <v>626400</v>
      </c>
      <c r="M292" s="9">
        <f t="shared" si="4"/>
        <v>4106400</v>
      </c>
      <c r="N292" s="5" t="s">
        <v>34</v>
      </c>
    </row>
    <row r="293" spans="1:14">
      <c r="A293" s="3" t="s">
        <v>27</v>
      </c>
      <c r="B293" s="4">
        <v>15807</v>
      </c>
      <c r="C293" s="5" t="s">
        <v>762</v>
      </c>
      <c r="D293" s="5" t="s">
        <v>763</v>
      </c>
      <c r="E293" s="5" t="s">
        <v>764</v>
      </c>
      <c r="F293" s="6">
        <v>43754</v>
      </c>
      <c r="G293" s="5"/>
      <c r="H293" s="5" t="s">
        <v>176</v>
      </c>
      <c r="I293" s="5" t="s">
        <v>177</v>
      </c>
      <c r="J293" s="5" t="s">
        <v>33</v>
      </c>
      <c r="K293" s="7">
        <v>180000</v>
      </c>
      <c r="L293" s="8">
        <v>32400</v>
      </c>
      <c r="M293" s="9">
        <f t="shared" si="4"/>
        <v>212400</v>
      </c>
      <c r="N293" s="5" t="s">
        <v>34</v>
      </c>
    </row>
    <row r="294" spans="1:14">
      <c r="A294" s="3" t="s">
        <v>27</v>
      </c>
      <c r="B294" s="4">
        <v>20547</v>
      </c>
      <c r="C294" s="5" t="s">
        <v>347</v>
      </c>
      <c r="D294" s="5" t="s">
        <v>765</v>
      </c>
      <c r="E294" s="5" t="s">
        <v>766</v>
      </c>
      <c r="F294" s="6">
        <v>43764</v>
      </c>
      <c r="G294" s="5"/>
      <c r="H294" s="5" t="s">
        <v>176</v>
      </c>
      <c r="I294" s="5" t="s">
        <v>177</v>
      </c>
      <c r="J294" s="5" t="s">
        <v>33</v>
      </c>
      <c r="K294" s="7">
        <v>780000</v>
      </c>
      <c r="L294" s="8">
        <v>140400</v>
      </c>
      <c r="M294" s="9">
        <f t="shared" si="4"/>
        <v>920400</v>
      </c>
      <c r="N294" s="5" t="s">
        <v>34</v>
      </c>
    </row>
    <row r="295" spans="1:14">
      <c r="A295" s="3" t="s">
        <v>27</v>
      </c>
      <c r="B295" s="4">
        <v>3286</v>
      </c>
      <c r="C295" s="5" t="s">
        <v>640</v>
      </c>
      <c r="D295" s="5" t="s">
        <v>767</v>
      </c>
      <c r="E295" s="5" t="s">
        <v>768</v>
      </c>
      <c r="F295" s="6">
        <v>43764</v>
      </c>
      <c r="G295" s="5"/>
      <c r="H295" s="5" t="s">
        <v>176</v>
      </c>
      <c r="I295" s="5" t="s">
        <v>177</v>
      </c>
      <c r="J295" s="5" t="s">
        <v>33</v>
      </c>
      <c r="K295" s="7">
        <v>544500</v>
      </c>
      <c r="L295" s="8">
        <v>98010</v>
      </c>
      <c r="M295" s="9">
        <f t="shared" si="4"/>
        <v>642510</v>
      </c>
      <c r="N295" s="5" t="s">
        <v>34</v>
      </c>
    </row>
    <row r="296" spans="1:14">
      <c r="A296" s="3" t="s">
        <v>27</v>
      </c>
      <c r="B296" s="4">
        <v>13828</v>
      </c>
      <c r="C296" s="5" t="s">
        <v>769</v>
      </c>
      <c r="D296" s="5" t="s">
        <v>770</v>
      </c>
      <c r="E296" s="5" t="s">
        <v>771</v>
      </c>
      <c r="F296" s="6">
        <v>43766</v>
      </c>
      <c r="G296" s="5"/>
      <c r="H296" s="5" t="s">
        <v>247</v>
      </c>
      <c r="I296" s="11" t="s">
        <v>45</v>
      </c>
      <c r="J296" s="5" t="s">
        <v>33</v>
      </c>
      <c r="K296" s="7">
        <v>63000</v>
      </c>
      <c r="L296" s="8">
        <v>11340</v>
      </c>
      <c r="M296" s="9">
        <f t="shared" si="4"/>
        <v>74340</v>
      </c>
      <c r="N296" s="5" t="s">
        <v>37</v>
      </c>
    </row>
    <row r="297" spans="1:14">
      <c r="A297" s="3" t="s">
        <v>27</v>
      </c>
      <c r="B297" s="4">
        <v>21992</v>
      </c>
      <c r="C297" s="5" t="s">
        <v>412</v>
      </c>
      <c r="D297" s="5" t="s">
        <v>772</v>
      </c>
      <c r="E297" s="5" t="s">
        <v>773</v>
      </c>
      <c r="F297" s="6">
        <v>43766</v>
      </c>
      <c r="G297" s="5"/>
      <c r="H297" s="5" t="s">
        <v>176</v>
      </c>
      <c r="I297" s="5" t="s">
        <v>177</v>
      </c>
      <c r="J297" s="5" t="s">
        <v>33</v>
      </c>
      <c r="K297" s="7">
        <v>2625761.66</v>
      </c>
      <c r="L297" s="8">
        <v>447660</v>
      </c>
      <c r="M297" s="9">
        <f t="shared" si="4"/>
        <v>3073421.66</v>
      </c>
      <c r="N297" s="5" t="s">
        <v>34</v>
      </c>
    </row>
    <row r="298" spans="1:14">
      <c r="A298" s="3" t="s">
        <v>27</v>
      </c>
      <c r="B298" s="4">
        <v>12615</v>
      </c>
      <c r="C298" s="5" t="s">
        <v>511</v>
      </c>
      <c r="D298" s="5" t="s">
        <v>774</v>
      </c>
      <c r="E298" s="5" t="s">
        <v>775</v>
      </c>
      <c r="F298" s="6">
        <v>43766</v>
      </c>
      <c r="G298" s="5"/>
      <c r="H298" s="5" t="s">
        <v>176</v>
      </c>
      <c r="I298" s="5" t="s">
        <v>177</v>
      </c>
      <c r="J298" s="5" t="s">
        <v>33</v>
      </c>
      <c r="K298" s="7">
        <v>2751990</v>
      </c>
      <c r="L298" s="8">
        <v>495358.2</v>
      </c>
      <c r="M298" s="9">
        <f t="shared" si="4"/>
        <v>3247348.2</v>
      </c>
      <c r="N298" s="5" t="s">
        <v>34</v>
      </c>
    </row>
    <row r="299" spans="1:14">
      <c r="A299" s="3" t="s">
        <v>27</v>
      </c>
      <c r="B299" s="4">
        <v>3798</v>
      </c>
      <c r="C299" s="5" t="s">
        <v>776</v>
      </c>
      <c r="D299" s="11" t="s">
        <v>777</v>
      </c>
      <c r="E299" s="5" t="s">
        <v>778</v>
      </c>
      <c r="F299" s="6">
        <v>43769</v>
      </c>
      <c r="G299" s="5"/>
      <c r="H299" s="5" t="s">
        <v>411</v>
      </c>
      <c r="I299" s="5" t="s">
        <v>177</v>
      </c>
      <c r="J299" s="5" t="s">
        <v>33</v>
      </c>
      <c r="K299" s="7">
        <v>250</v>
      </c>
      <c r="L299" s="8">
        <v>45</v>
      </c>
      <c r="M299" s="9">
        <f t="shared" si="4"/>
        <v>295</v>
      </c>
      <c r="N299" s="5" t="s">
        <v>474</v>
      </c>
    </row>
    <row r="300" spans="1:14">
      <c r="A300" s="3" t="s">
        <v>27</v>
      </c>
      <c r="B300" s="4">
        <v>20683</v>
      </c>
      <c r="C300" s="5" t="s">
        <v>248</v>
      </c>
      <c r="D300" s="5" t="s">
        <v>779</v>
      </c>
      <c r="E300" s="5" t="s">
        <v>780</v>
      </c>
      <c r="F300" s="6">
        <v>43773</v>
      </c>
      <c r="G300" s="5"/>
      <c r="H300" s="5" t="s">
        <v>176</v>
      </c>
      <c r="I300" s="5" t="s">
        <v>177</v>
      </c>
      <c r="J300" s="5" t="s">
        <v>33</v>
      </c>
      <c r="K300" s="7">
        <v>93730</v>
      </c>
      <c r="L300" s="10"/>
      <c r="M300" s="9">
        <f t="shared" si="4"/>
        <v>93730</v>
      </c>
      <c r="N300" s="5" t="s">
        <v>34</v>
      </c>
    </row>
    <row r="301" spans="1:14">
      <c r="A301" s="3" t="s">
        <v>27</v>
      </c>
      <c r="B301" s="4">
        <v>25629</v>
      </c>
      <c r="C301" s="5" t="s">
        <v>318</v>
      </c>
      <c r="D301" s="5" t="s">
        <v>781</v>
      </c>
      <c r="E301" s="5" t="s">
        <v>782</v>
      </c>
      <c r="F301" s="6">
        <v>43773</v>
      </c>
      <c r="G301" s="5"/>
      <c r="H301" s="5" t="s">
        <v>176</v>
      </c>
      <c r="I301" s="5" t="s">
        <v>177</v>
      </c>
      <c r="J301" s="5" t="s">
        <v>33</v>
      </c>
      <c r="K301" s="7">
        <v>35988</v>
      </c>
      <c r="L301" s="8">
        <v>6477.84</v>
      </c>
      <c r="M301" s="9">
        <f t="shared" si="4"/>
        <v>42465.84</v>
      </c>
      <c r="N301" s="5" t="s">
        <v>53</v>
      </c>
    </row>
    <row r="302" spans="1:14">
      <c r="A302" s="3" t="s">
        <v>27</v>
      </c>
      <c r="B302" s="4">
        <v>12015</v>
      </c>
      <c r="C302" s="5" t="s">
        <v>391</v>
      </c>
      <c r="D302" s="5" t="s">
        <v>783</v>
      </c>
      <c r="E302" s="5" t="s">
        <v>784</v>
      </c>
      <c r="F302" s="6">
        <v>43775</v>
      </c>
      <c r="G302" s="5"/>
      <c r="H302" s="5" t="s">
        <v>176</v>
      </c>
      <c r="I302" s="5" t="s">
        <v>177</v>
      </c>
      <c r="J302" s="5" t="s">
        <v>33</v>
      </c>
      <c r="K302" s="7">
        <v>1935072</v>
      </c>
      <c r="L302" s="8">
        <v>348312.96</v>
      </c>
      <c r="M302" s="9">
        <f t="shared" si="4"/>
        <v>2283384.96</v>
      </c>
      <c r="N302" s="5" t="s">
        <v>34</v>
      </c>
    </row>
    <row r="303" spans="1:14">
      <c r="A303" s="3" t="s">
        <v>27</v>
      </c>
      <c r="B303" s="4">
        <v>12615</v>
      </c>
      <c r="C303" s="5" t="s">
        <v>511</v>
      </c>
      <c r="D303" s="5" t="s">
        <v>785</v>
      </c>
      <c r="E303" s="5" t="s">
        <v>786</v>
      </c>
      <c r="F303" s="6">
        <v>43775</v>
      </c>
      <c r="G303" s="5"/>
      <c r="H303" s="5" t="s">
        <v>176</v>
      </c>
      <c r="I303" s="5" t="s">
        <v>177</v>
      </c>
      <c r="J303" s="5" t="s">
        <v>33</v>
      </c>
      <c r="K303" s="7">
        <v>2646640</v>
      </c>
      <c r="L303" s="8">
        <v>476395.2</v>
      </c>
      <c r="M303" s="9">
        <f t="shared" si="4"/>
        <v>3123035.2</v>
      </c>
      <c r="N303" s="5" t="s">
        <v>34</v>
      </c>
    </row>
    <row r="304" spans="1:14">
      <c r="A304" s="3" t="s">
        <v>27</v>
      </c>
      <c r="B304" s="4">
        <v>24746</v>
      </c>
      <c r="C304" s="5" t="s">
        <v>158</v>
      </c>
      <c r="D304" s="5" t="s">
        <v>787</v>
      </c>
      <c r="E304" s="5" t="s">
        <v>788</v>
      </c>
      <c r="F304" s="6">
        <v>43780</v>
      </c>
      <c r="G304" s="5"/>
      <c r="H304" s="5" t="s">
        <v>176</v>
      </c>
      <c r="I304" s="5" t="s">
        <v>177</v>
      </c>
      <c r="J304" s="5" t="s">
        <v>33</v>
      </c>
      <c r="K304" s="7">
        <v>6893.82</v>
      </c>
      <c r="L304" s="8">
        <v>1240.8800000000001</v>
      </c>
      <c r="M304" s="9">
        <f t="shared" si="4"/>
        <v>8134.7</v>
      </c>
      <c r="N304" s="5" t="s">
        <v>34</v>
      </c>
    </row>
    <row r="305" spans="1:14">
      <c r="A305" s="3" t="s">
        <v>27</v>
      </c>
      <c r="B305" s="4">
        <v>19669</v>
      </c>
      <c r="C305" s="5" t="s">
        <v>71</v>
      </c>
      <c r="D305" s="5" t="s">
        <v>789</v>
      </c>
      <c r="E305" s="5" t="s">
        <v>790</v>
      </c>
      <c r="F305" s="6">
        <v>43780</v>
      </c>
      <c r="G305" s="5"/>
      <c r="H305" s="5" t="s">
        <v>176</v>
      </c>
      <c r="I305" s="5" t="s">
        <v>177</v>
      </c>
      <c r="J305" s="5" t="s">
        <v>33</v>
      </c>
      <c r="K305" s="7">
        <v>224400</v>
      </c>
      <c r="L305" s="8">
        <v>40392</v>
      </c>
      <c r="M305" s="9">
        <f t="shared" si="4"/>
        <v>264792</v>
      </c>
      <c r="N305" s="5" t="s">
        <v>220</v>
      </c>
    </row>
    <row r="306" spans="1:14">
      <c r="A306" s="3" t="s">
        <v>27</v>
      </c>
      <c r="B306" s="4">
        <v>20547</v>
      </c>
      <c r="C306" s="5" t="s">
        <v>347</v>
      </c>
      <c r="D306" s="5" t="s">
        <v>791</v>
      </c>
      <c r="E306" s="5" t="s">
        <v>792</v>
      </c>
      <c r="F306" s="6">
        <v>43780</v>
      </c>
      <c r="G306" s="5"/>
      <c r="H306" s="5" t="s">
        <v>176</v>
      </c>
      <c r="I306" s="5" t="s">
        <v>177</v>
      </c>
      <c r="J306" s="5" t="s">
        <v>33</v>
      </c>
      <c r="K306" s="7">
        <v>277000</v>
      </c>
      <c r="L306" s="8">
        <v>49860</v>
      </c>
      <c r="M306" s="9">
        <f t="shared" si="4"/>
        <v>326860</v>
      </c>
      <c r="N306" s="5" t="s">
        <v>34</v>
      </c>
    </row>
    <row r="307" spans="1:14">
      <c r="A307" s="3" t="s">
        <v>27</v>
      </c>
      <c r="B307" s="4">
        <v>27862</v>
      </c>
      <c r="C307" s="5" t="s">
        <v>590</v>
      </c>
      <c r="D307" s="5" t="s">
        <v>793</v>
      </c>
      <c r="E307" s="5" t="s">
        <v>794</v>
      </c>
      <c r="F307" s="6">
        <v>43782</v>
      </c>
      <c r="G307" s="5"/>
      <c r="H307" s="5" t="s">
        <v>176</v>
      </c>
      <c r="I307" s="5" t="s">
        <v>177</v>
      </c>
      <c r="J307" s="5" t="s">
        <v>33</v>
      </c>
      <c r="K307" s="7">
        <v>50000</v>
      </c>
      <c r="L307" s="8">
        <v>9000</v>
      </c>
      <c r="M307" s="9">
        <f t="shared" si="4"/>
        <v>59000</v>
      </c>
      <c r="N307" s="5" t="s">
        <v>34</v>
      </c>
    </row>
    <row r="308" spans="1:14">
      <c r="A308" s="3" t="s">
        <v>27</v>
      </c>
      <c r="B308" s="4">
        <v>22480</v>
      </c>
      <c r="C308" s="5" t="s">
        <v>241</v>
      </c>
      <c r="D308" s="5" t="s">
        <v>795</v>
      </c>
      <c r="E308" s="5" t="s">
        <v>796</v>
      </c>
      <c r="F308" s="6">
        <v>43784</v>
      </c>
      <c r="G308" s="5"/>
      <c r="H308" s="5" t="s">
        <v>176</v>
      </c>
      <c r="I308" s="5" t="s">
        <v>177</v>
      </c>
      <c r="J308" s="5" t="s">
        <v>33</v>
      </c>
      <c r="K308" s="7">
        <v>514000</v>
      </c>
      <c r="L308" s="8">
        <v>92520</v>
      </c>
      <c r="M308" s="9">
        <f t="shared" si="4"/>
        <v>606520</v>
      </c>
      <c r="N308" s="5" t="s">
        <v>34</v>
      </c>
    </row>
    <row r="309" spans="1:14">
      <c r="A309" s="3" t="s">
        <v>27</v>
      </c>
      <c r="B309" s="4">
        <v>26781</v>
      </c>
      <c r="C309" s="5" t="s">
        <v>224</v>
      </c>
      <c r="D309" s="5" t="s">
        <v>797</v>
      </c>
      <c r="E309" s="5" t="s">
        <v>798</v>
      </c>
      <c r="F309" s="6">
        <v>43784</v>
      </c>
      <c r="G309" s="5"/>
      <c r="H309" s="5" t="s">
        <v>176</v>
      </c>
      <c r="I309" s="5" t="s">
        <v>177</v>
      </c>
      <c r="J309" s="5" t="s">
        <v>33</v>
      </c>
      <c r="K309" s="7">
        <v>18220</v>
      </c>
      <c r="L309" s="8">
        <v>3279.6</v>
      </c>
      <c r="M309" s="9">
        <f t="shared" si="4"/>
        <v>21499.599999999999</v>
      </c>
      <c r="N309" s="5" t="s">
        <v>34</v>
      </c>
    </row>
    <row r="310" spans="1:14">
      <c r="A310" s="3" t="s">
        <v>27</v>
      </c>
      <c r="B310" s="4">
        <v>22329</v>
      </c>
      <c r="C310" s="5" t="s">
        <v>350</v>
      </c>
      <c r="D310" s="5" t="s">
        <v>799</v>
      </c>
      <c r="E310" s="5" t="s">
        <v>800</v>
      </c>
      <c r="F310" s="6">
        <v>43787</v>
      </c>
      <c r="G310" s="5"/>
      <c r="H310" s="5" t="s">
        <v>176</v>
      </c>
      <c r="I310" s="5" t="s">
        <v>177</v>
      </c>
      <c r="J310" s="5" t="s">
        <v>33</v>
      </c>
      <c r="K310" s="7">
        <v>676400</v>
      </c>
      <c r="L310" s="8">
        <v>121752</v>
      </c>
      <c r="M310" s="9">
        <f t="shared" si="4"/>
        <v>798152</v>
      </c>
      <c r="N310" s="5" t="s">
        <v>34</v>
      </c>
    </row>
    <row r="311" spans="1:14">
      <c r="A311" s="3" t="s">
        <v>27</v>
      </c>
      <c r="B311" s="4">
        <v>3425</v>
      </c>
      <c r="C311" s="5" t="s">
        <v>277</v>
      </c>
      <c r="D311" s="5" t="s">
        <v>801</v>
      </c>
      <c r="E311" s="5" t="s">
        <v>802</v>
      </c>
      <c r="F311" s="6">
        <v>43788</v>
      </c>
      <c r="G311" s="5"/>
      <c r="H311" s="5" t="s">
        <v>176</v>
      </c>
      <c r="I311" s="5" t="s">
        <v>177</v>
      </c>
      <c r="J311" s="5" t="s">
        <v>33</v>
      </c>
      <c r="K311" s="7">
        <v>11700</v>
      </c>
      <c r="L311" s="8">
        <v>2106</v>
      </c>
      <c r="M311" s="9">
        <f t="shared" si="4"/>
        <v>13806</v>
      </c>
      <c r="N311" s="5" t="s">
        <v>34</v>
      </c>
    </row>
    <row r="312" spans="1:14">
      <c r="A312" s="3" t="s">
        <v>27</v>
      </c>
      <c r="B312" s="4">
        <v>22125</v>
      </c>
      <c r="C312" s="5" t="s">
        <v>522</v>
      </c>
      <c r="D312" s="5" t="s">
        <v>803</v>
      </c>
      <c r="E312" s="5" t="s">
        <v>804</v>
      </c>
      <c r="F312" s="6">
        <v>43792</v>
      </c>
      <c r="G312" s="5"/>
      <c r="H312" s="5" t="s">
        <v>176</v>
      </c>
      <c r="I312" s="5" t="s">
        <v>177</v>
      </c>
      <c r="J312" s="5" t="s">
        <v>33</v>
      </c>
      <c r="K312" s="7">
        <v>246564.3</v>
      </c>
      <c r="L312" s="8">
        <v>44381.58</v>
      </c>
      <c r="M312" s="9">
        <f t="shared" si="4"/>
        <v>290945.88</v>
      </c>
      <c r="N312" s="5" t="s">
        <v>34</v>
      </c>
    </row>
    <row r="313" spans="1:14">
      <c r="A313" s="3" t="s">
        <v>27</v>
      </c>
      <c r="B313" s="4">
        <v>23814</v>
      </c>
      <c r="C313" s="5" t="s">
        <v>805</v>
      </c>
      <c r="D313" s="5" t="s">
        <v>806</v>
      </c>
      <c r="E313" s="5" t="s">
        <v>807</v>
      </c>
      <c r="F313" s="6">
        <v>43794</v>
      </c>
      <c r="G313" s="5"/>
      <c r="H313" s="5" t="s">
        <v>176</v>
      </c>
      <c r="I313" s="5" t="s">
        <v>177</v>
      </c>
      <c r="J313" s="5" t="s">
        <v>33</v>
      </c>
      <c r="K313" s="7">
        <v>128160</v>
      </c>
      <c r="L313" s="8">
        <v>23068.799999999999</v>
      </c>
      <c r="M313" s="9">
        <f t="shared" si="4"/>
        <v>151228.79999999999</v>
      </c>
      <c r="N313" s="5" t="s">
        <v>34</v>
      </c>
    </row>
    <row r="314" spans="1:14">
      <c r="A314" s="3" t="s">
        <v>27</v>
      </c>
      <c r="B314" s="4">
        <v>26248</v>
      </c>
      <c r="C314" s="5" t="s">
        <v>284</v>
      </c>
      <c r="D314" s="5" t="s">
        <v>808</v>
      </c>
      <c r="E314" s="5" t="s">
        <v>809</v>
      </c>
      <c r="F314" s="6">
        <v>43794</v>
      </c>
      <c r="G314" s="5"/>
      <c r="H314" s="5" t="s">
        <v>176</v>
      </c>
      <c r="I314" s="5" t="s">
        <v>177</v>
      </c>
      <c r="J314" s="5" t="s">
        <v>33</v>
      </c>
      <c r="K314" s="7">
        <v>116000</v>
      </c>
      <c r="L314" s="8">
        <v>20880</v>
      </c>
      <c r="M314" s="9">
        <f t="shared" si="4"/>
        <v>136880</v>
      </c>
      <c r="N314" s="5" t="s">
        <v>34</v>
      </c>
    </row>
    <row r="315" spans="1:14">
      <c r="A315" s="3" t="s">
        <v>27</v>
      </c>
      <c r="B315" s="4">
        <v>26781</v>
      </c>
      <c r="C315" s="5" t="s">
        <v>224</v>
      </c>
      <c r="D315" s="5" t="s">
        <v>810</v>
      </c>
      <c r="E315" s="5" t="s">
        <v>811</v>
      </c>
      <c r="F315" s="6">
        <v>43795</v>
      </c>
      <c r="G315" s="5"/>
      <c r="H315" s="5" t="s">
        <v>176</v>
      </c>
      <c r="I315" s="5" t="s">
        <v>177</v>
      </c>
      <c r="J315" s="5" t="s">
        <v>33</v>
      </c>
      <c r="K315" s="7">
        <v>2250000</v>
      </c>
      <c r="L315" s="8">
        <v>405000</v>
      </c>
      <c r="M315" s="9">
        <f t="shared" si="4"/>
        <v>2655000</v>
      </c>
      <c r="N315" s="5" t="s">
        <v>34</v>
      </c>
    </row>
    <row r="316" spans="1:14">
      <c r="A316" s="3" t="s">
        <v>27</v>
      </c>
      <c r="B316" s="4">
        <v>27862</v>
      </c>
      <c r="C316" s="5" t="s">
        <v>590</v>
      </c>
      <c r="D316" s="5" t="s">
        <v>812</v>
      </c>
      <c r="E316" s="5" t="s">
        <v>813</v>
      </c>
      <c r="F316" s="6">
        <v>43796</v>
      </c>
      <c r="G316" s="5"/>
      <c r="H316" s="5" t="s">
        <v>176</v>
      </c>
      <c r="I316" s="5" t="s">
        <v>177</v>
      </c>
      <c r="J316" s="5" t="s">
        <v>33</v>
      </c>
      <c r="K316" s="7">
        <v>82500</v>
      </c>
      <c r="L316" s="8">
        <v>14850</v>
      </c>
      <c r="M316" s="9">
        <f t="shared" si="4"/>
        <v>97350</v>
      </c>
      <c r="N316" s="5" t="s">
        <v>34</v>
      </c>
    </row>
    <row r="317" spans="1:14">
      <c r="A317" s="3" t="s">
        <v>27</v>
      </c>
      <c r="B317" s="4">
        <v>24746</v>
      </c>
      <c r="C317" s="5" t="s">
        <v>158</v>
      </c>
      <c r="D317" s="5" t="s">
        <v>814</v>
      </c>
      <c r="E317" s="5" t="s">
        <v>815</v>
      </c>
      <c r="F317" s="6">
        <v>43797</v>
      </c>
      <c r="G317" s="5"/>
      <c r="H317" s="5" t="s">
        <v>176</v>
      </c>
      <c r="I317" s="5" t="s">
        <v>177</v>
      </c>
      <c r="J317" s="5" t="s">
        <v>33</v>
      </c>
      <c r="K317" s="7">
        <v>18000</v>
      </c>
      <c r="L317" s="8">
        <v>3240</v>
      </c>
      <c r="M317" s="9">
        <f t="shared" si="4"/>
        <v>21240</v>
      </c>
      <c r="N317" s="5" t="s">
        <v>34</v>
      </c>
    </row>
    <row r="318" spans="1:14">
      <c r="A318" s="3" t="s">
        <v>27</v>
      </c>
      <c r="B318" s="4">
        <v>26790</v>
      </c>
      <c r="C318" s="5" t="s">
        <v>199</v>
      </c>
      <c r="D318" s="5" t="s">
        <v>816</v>
      </c>
      <c r="E318" s="5" t="s">
        <v>817</v>
      </c>
      <c r="F318" s="6">
        <v>43798</v>
      </c>
      <c r="G318" s="5"/>
      <c r="H318" s="5" t="s">
        <v>176</v>
      </c>
      <c r="I318" s="5" t="s">
        <v>177</v>
      </c>
      <c r="J318" s="5" t="s">
        <v>33</v>
      </c>
      <c r="K318" s="7">
        <v>227000</v>
      </c>
      <c r="L318" s="8">
        <v>40860</v>
      </c>
      <c r="M318" s="9">
        <f t="shared" si="4"/>
        <v>267860</v>
      </c>
      <c r="N318" s="5" t="s">
        <v>34</v>
      </c>
    </row>
    <row r="319" spans="1:14">
      <c r="A319" s="3" t="s">
        <v>27</v>
      </c>
      <c r="B319" s="4">
        <v>20683</v>
      </c>
      <c r="C319" s="5" t="s">
        <v>248</v>
      </c>
      <c r="D319" s="5" t="s">
        <v>818</v>
      </c>
      <c r="E319" s="5" t="s">
        <v>819</v>
      </c>
      <c r="F319" s="6">
        <v>43799</v>
      </c>
      <c r="G319" s="5"/>
      <c r="H319" s="5" t="s">
        <v>176</v>
      </c>
      <c r="I319" s="5" t="s">
        <v>177</v>
      </c>
      <c r="J319" s="5" t="s">
        <v>33</v>
      </c>
      <c r="K319" s="7">
        <v>1645750</v>
      </c>
      <c r="L319" s="10"/>
      <c r="M319" s="9">
        <f t="shared" si="4"/>
        <v>1645750</v>
      </c>
      <c r="N319" s="5" t="s">
        <v>34</v>
      </c>
    </row>
    <row r="320" spans="1:14">
      <c r="A320" s="3" t="s">
        <v>27</v>
      </c>
      <c r="B320" s="4">
        <v>28139</v>
      </c>
      <c r="C320" s="5" t="s">
        <v>820</v>
      </c>
      <c r="D320" s="5" t="s">
        <v>821</v>
      </c>
      <c r="E320" s="5" t="s">
        <v>822</v>
      </c>
      <c r="F320" s="6">
        <v>43799</v>
      </c>
      <c r="G320" s="5"/>
      <c r="H320" s="5" t="s">
        <v>176</v>
      </c>
      <c r="I320" s="5" t="s">
        <v>177</v>
      </c>
      <c r="J320" s="5" t="s">
        <v>33</v>
      </c>
      <c r="K320" s="7">
        <v>2432430</v>
      </c>
      <c r="L320" s="10"/>
      <c r="M320" s="9">
        <f t="shared" si="4"/>
        <v>2432430</v>
      </c>
      <c r="N320" s="5" t="s">
        <v>34</v>
      </c>
    </row>
    <row r="321" spans="1:14">
      <c r="A321" s="3" t="s">
        <v>27</v>
      </c>
      <c r="B321" s="4">
        <v>24978</v>
      </c>
      <c r="C321" s="5" t="s">
        <v>97</v>
      </c>
      <c r="D321" s="5" t="s">
        <v>823</v>
      </c>
      <c r="E321" s="5" t="s">
        <v>824</v>
      </c>
      <c r="F321" s="6">
        <v>43799</v>
      </c>
      <c r="G321" s="5"/>
      <c r="H321" s="5" t="s">
        <v>176</v>
      </c>
      <c r="I321" s="5" t="s">
        <v>177</v>
      </c>
      <c r="J321" s="5" t="s">
        <v>33</v>
      </c>
      <c r="K321" s="7">
        <v>25000</v>
      </c>
      <c r="L321" s="8">
        <v>4500</v>
      </c>
      <c r="M321" s="9">
        <f t="shared" si="4"/>
        <v>29500</v>
      </c>
      <c r="N321" s="5" t="s">
        <v>34</v>
      </c>
    </row>
    <row r="322" spans="1:14">
      <c r="A322" s="3" t="s">
        <v>27</v>
      </c>
      <c r="B322" s="4">
        <v>18509</v>
      </c>
      <c r="C322" s="5" t="s">
        <v>542</v>
      </c>
      <c r="D322" s="5" t="s">
        <v>825</v>
      </c>
      <c r="E322" s="5" t="s">
        <v>826</v>
      </c>
      <c r="F322" s="6">
        <v>43799</v>
      </c>
      <c r="G322" s="5"/>
      <c r="H322" s="5" t="s">
        <v>176</v>
      </c>
      <c r="I322" s="5" t="s">
        <v>177</v>
      </c>
      <c r="J322" s="5" t="s">
        <v>33</v>
      </c>
      <c r="K322" s="7">
        <v>117500</v>
      </c>
      <c r="L322" s="8">
        <v>21150</v>
      </c>
      <c r="M322" s="9">
        <f t="shared" ref="M322:M385" si="5">+K322+L322</f>
        <v>138650</v>
      </c>
      <c r="N322" s="5" t="s">
        <v>34</v>
      </c>
    </row>
    <row r="323" spans="1:14">
      <c r="A323" s="3" t="s">
        <v>27</v>
      </c>
      <c r="B323" s="4">
        <v>26248</v>
      </c>
      <c r="C323" s="5" t="s">
        <v>284</v>
      </c>
      <c r="D323" s="5" t="s">
        <v>827</v>
      </c>
      <c r="E323" s="5" t="s">
        <v>828</v>
      </c>
      <c r="F323" s="6">
        <v>43802</v>
      </c>
      <c r="G323" s="5"/>
      <c r="H323" s="5" t="s">
        <v>176</v>
      </c>
      <c r="I323" s="5" t="s">
        <v>177</v>
      </c>
      <c r="J323" s="5" t="s">
        <v>33</v>
      </c>
      <c r="K323" s="7">
        <v>2737419</v>
      </c>
      <c r="L323" s="8">
        <v>492735.42</v>
      </c>
      <c r="M323" s="9">
        <f t="shared" si="5"/>
        <v>3230154.42</v>
      </c>
      <c r="N323" s="5" t="s">
        <v>34</v>
      </c>
    </row>
    <row r="324" spans="1:14">
      <c r="A324" s="3" t="s">
        <v>27</v>
      </c>
      <c r="B324" s="4">
        <v>26238</v>
      </c>
      <c r="C324" s="5" t="s">
        <v>829</v>
      </c>
      <c r="D324" s="5" t="s">
        <v>830</v>
      </c>
      <c r="E324" s="5" t="s">
        <v>831</v>
      </c>
      <c r="F324" s="6">
        <v>43802</v>
      </c>
      <c r="G324" s="5"/>
      <c r="H324" s="5" t="s">
        <v>411</v>
      </c>
      <c r="I324" s="5" t="s">
        <v>177</v>
      </c>
      <c r="J324" s="5" t="s">
        <v>33</v>
      </c>
      <c r="K324" s="7">
        <v>16920</v>
      </c>
      <c r="L324" s="8">
        <v>2030.4</v>
      </c>
      <c r="M324" s="9">
        <f t="shared" si="5"/>
        <v>18950.400000000001</v>
      </c>
      <c r="N324" s="5" t="s">
        <v>34</v>
      </c>
    </row>
    <row r="325" spans="1:14">
      <c r="A325" s="3" t="s">
        <v>27</v>
      </c>
      <c r="B325" s="4">
        <v>22951</v>
      </c>
      <c r="C325" s="5" t="s">
        <v>141</v>
      </c>
      <c r="D325" s="5" t="s">
        <v>832</v>
      </c>
      <c r="E325" s="5" t="s">
        <v>833</v>
      </c>
      <c r="F325" s="6">
        <v>43804</v>
      </c>
      <c r="G325" s="5"/>
      <c r="H325" s="5" t="s">
        <v>176</v>
      </c>
      <c r="I325" s="5" t="s">
        <v>177</v>
      </c>
      <c r="J325" s="5" t="s">
        <v>33</v>
      </c>
      <c r="K325" s="7">
        <v>279800</v>
      </c>
      <c r="L325" s="8">
        <v>50364</v>
      </c>
      <c r="M325" s="9">
        <f t="shared" si="5"/>
        <v>330164</v>
      </c>
      <c r="N325" s="5" t="s">
        <v>34</v>
      </c>
    </row>
    <row r="326" spans="1:14">
      <c r="A326" s="3" t="s">
        <v>27</v>
      </c>
      <c r="B326" s="4">
        <v>26922</v>
      </c>
      <c r="C326" s="5" t="s">
        <v>834</v>
      </c>
      <c r="D326" s="5" t="s">
        <v>835</v>
      </c>
      <c r="E326" s="5" t="s">
        <v>836</v>
      </c>
      <c r="F326" s="6">
        <v>43808</v>
      </c>
      <c r="G326" s="5"/>
      <c r="H326" s="5" t="s">
        <v>176</v>
      </c>
      <c r="I326" s="5" t="s">
        <v>177</v>
      </c>
      <c r="J326" s="5" t="s">
        <v>33</v>
      </c>
      <c r="K326" s="7">
        <v>48300</v>
      </c>
      <c r="L326" s="8">
        <v>8694</v>
      </c>
      <c r="M326" s="9">
        <f t="shared" si="5"/>
        <v>56994</v>
      </c>
      <c r="N326" s="5" t="s">
        <v>34</v>
      </c>
    </row>
    <row r="327" spans="1:14">
      <c r="A327" s="3" t="s">
        <v>27</v>
      </c>
      <c r="B327" s="4">
        <v>3475</v>
      </c>
      <c r="C327" s="5" t="s">
        <v>837</v>
      </c>
      <c r="D327" s="5" t="s">
        <v>838</v>
      </c>
      <c r="E327" s="5" t="s">
        <v>839</v>
      </c>
      <c r="F327" s="6">
        <v>43809</v>
      </c>
      <c r="G327" s="5"/>
      <c r="H327" s="5" t="s">
        <v>411</v>
      </c>
      <c r="I327" s="5" t="s">
        <v>177</v>
      </c>
      <c r="J327" s="5" t="s">
        <v>33</v>
      </c>
      <c r="K327" s="7">
        <v>82416</v>
      </c>
      <c r="L327" s="8">
        <v>14834.88</v>
      </c>
      <c r="M327" s="9">
        <f t="shared" si="5"/>
        <v>97250.880000000005</v>
      </c>
      <c r="N327" s="5" t="s">
        <v>34</v>
      </c>
    </row>
    <row r="328" spans="1:14">
      <c r="A328" s="3" t="s">
        <v>27</v>
      </c>
      <c r="B328" s="4">
        <v>3547</v>
      </c>
      <c r="C328" s="5" t="s">
        <v>840</v>
      </c>
      <c r="D328" s="5" t="s">
        <v>841</v>
      </c>
      <c r="E328" s="5" t="s">
        <v>842</v>
      </c>
      <c r="F328" s="6">
        <v>43813</v>
      </c>
      <c r="G328" s="5"/>
      <c r="H328" s="5" t="s">
        <v>176</v>
      </c>
      <c r="I328" s="5" t="s">
        <v>177</v>
      </c>
      <c r="J328" s="5" t="s">
        <v>33</v>
      </c>
      <c r="K328" s="7">
        <v>90300</v>
      </c>
      <c r="L328" s="8">
        <v>16254</v>
      </c>
      <c r="M328" s="9">
        <f t="shared" si="5"/>
        <v>106554</v>
      </c>
      <c r="N328" s="5" t="s">
        <v>34</v>
      </c>
    </row>
    <row r="329" spans="1:14">
      <c r="A329" s="3" t="s">
        <v>27</v>
      </c>
      <c r="B329" s="4">
        <v>3387</v>
      </c>
      <c r="C329" s="5" t="s">
        <v>843</v>
      </c>
      <c r="D329" s="5" t="s">
        <v>844</v>
      </c>
      <c r="E329" s="5" t="s">
        <v>845</v>
      </c>
      <c r="F329" s="6">
        <v>43815</v>
      </c>
      <c r="G329" s="5"/>
      <c r="H329" s="5" t="s">
        <v>176</v>
      </c>
      <c r="I329" s="5" t="s">
        <v>177</v>
      </c>
      <c r="J329" s="5" t="s">
        <v>33</v>
      </c>
      <c r="K329" s="7">
        <v>115570</v>
      </c>
      <c r="L329" s="8">
        <v>20802.599999999999</v>
      </c>
      <c r="M329" s="9">
        <f t="shared" si="5"/>
        <v>136372.6</v>
      </c>
      <c r="N329" s="5" t="s">
        <v>34</v>
      </c>
    </row>
    <row r="330" spans="1:14">
      <c r="A330" s="3" t="s">
        <v>27</v>
      </c>
      <c r="B330" s="4">
        <v>12718</v>
      </c>
      <c r="C330" s="5" t="s">
        <v>313</v>
      </c>
      <c r="D330" s="5" t="s">
        <v>846</v>
      </c>
      <c r="E330" s="5" t="s">
        <v>847</v>
      </c>
      <c r="F330" s="6">
        <v>43815</v>
      </c>
      <c r="G330" s="5"/>
      <c r="H330" s="5" t="s">
        <v>176</v>
      </c>
      <c r="I330" s="5" t="s">
        <v>177</v>
      </c>
      <c r="J330" s="5" t="s">
        <v>33</v>
      </c>
      <c r="K330" s="7">
        <v>118800</v>
      </c>
      <c r="L330" s="8">
        <v>21384</v>
      </c>
      <c r="M330" s="9">
        <f t="shared" si="5"/>
        <v>140184</v>
      </c>
      <c r="N330" s="5" t="s">
        <v>34</v>
      </c>
    </row>
    <row r="331" spans="1:14">
      <c r="A331" s="3" t="s">
        <v>27</v>
      </c>
      <c r="B331" s="4">
        <v>22125</v>
      </c>
      <c r="C331" s="5" t="s">
        <v>522</v>
      </c>
      <c r="D331" s="5" t="s">
        <v>848</v>
      </c>
      <c r="E331" s="5" t="s">
        <v>849</v>
      </c>
      <c r="F331" s="6">
        <v>43815</v>
      </c>
      <c r="G331" s="5"/>
      <c r="H331" s="5" t="s">
        <v>176</v>
      </c>
      <c r="I331" s="5" t="s">
        <v>177</v>
      </c>
      <c r="J331" s="5" t="s">
        <v>33</v>
      </c>
      <c r="K331" s="7">
        <v>338560</v>
      </c>
      <c r="L331" s="8">
        <v>60940.800000000003</v>
      </c>
      <c r="M331" s="9">
        <f t="shared" si="5"/>
        <v>399500.79999999999</v>
      </c>
      <c r="N331" s="5" t="s">
        <v>34</v>
      </c>
    </row>
    <row r="332" spans="1:14">
      <c r="A332" s="3" t="s">
        <v>27</v>
      </c>
      <c r="B332" s="4">
        <v>1885</v>
      </c>
      <c r="C332" s="5" t="s">
        <v>340</v>
      </c>
      <c r="D332" s="11" t="s">
        <v>850</v>
      </c>
      <c r="E332" s="5" t="s">
        <v>851</v>
      </c>
      <c r="F332" s="6">
        <v>43819</v>
      </c>
      <c r="G332" s="5"/>
      <c r="H332" s="5" t="s">
        <v>411</v>
      </c>
      <c r="I332" s="5" t="s">
        <v>177</v>
      </c>
      <c r="J332" s="5" t="s">
        <v>33</v>
      </c>
      <c r="K332" s="7">
        <v>39204</v>
      </c>
      <c r="L332" s="8">
        <v>7056.72</v>
      </c>
      <c r="M332" s="9">
        <f t="shared" si="5"/>
        <v>46260.72</v>
      </c>
      <c r="N332" s="5" t="s">
        <v>474</v>
      </c>
    </row>
    <row r="333" spans="1:14">
      <c r="A333" s="3" t="s">
        <v>27</v>
      </c>
      <c r="B333" s="4">
        <v>1885</v>
      </c>
      <c r="C333" s="5" t="s">
        <v>340</v>
      </c>
      <c r="D333" s="5" t="s">
        <v>852</v>
      </c>
      <c r="E333" s="5" t="s">
        <v>853</v>
      </c>
      <c r="F333" s="6">
        <v>43822</v>
      </c>
      <c r="G333" s="5"/>
      <c r="H333" s="5" t="s">
        <v>176</v>
      </c>
      <c r="I333" s="5" t="s">
        <v>177</v>
      </c>
      <c r="J333" s="5" t="s">
        <v>33</v>
      </c>
      <c r="K333" s="7">
        <v>825000</v>
      </c>
      <c r="L333" s="8">
        <v>148500</v>
      </c>
      <c r="M333" s="9">
        <f t="shared" si="5"/>
        <v>973500</v>
      </c>
      <c r="N333" s="5" t="s">
        <v>34</v>
      </c>
    </row>
    <row r="334" spans="1:14">
      <c r="A334" s="3" t="s">
        <v>27</v>
      </c>
      <c r="B334" s="4">
        <v>26846</v>
      </c>
      <c r="C334" s="5" t="s">
        <v>235</v>
      </c>
      <c r="D334" s="5" t="s">
        <v>854</v>
      </c>
      <c r="E334" s="5" t="s">
        <v>855</v>
      </c>
      <c r="F334" s="6">
        <v>43823</v>
      </c>
      <c r="G334" s="5"/>
      <c r="H334" s="5" t="s">
        <v>176</v>
      </c>
      <c r="I334" s="5" t="s">
        <v>177</v>
      </c>
      <c r="J334" s="5" t="s">
        <v>33</v>
      </c>
      <c r="K334" s="7">
        <v>55000</v>
      </c>
      <c r="L334" s="8">
        <v>9900</v>
      </c>
      <c r="M334" s="9">
        <f t="shared" si="5"/>
        <v>64900</v>
      </c>
      <c r="N334" s="5" t="s">
        <v>34</v>
      </c>
    </row>
    <row r="335" spans="1:14">
      <c r="A335" s="3" t="s">
        <v>27</v>
      </c>
      <c r="B335" s="4">
        <v>12015</v>
      </c>
      <c r="C335" s="5" t="s">
        <v>391</v>
      </c>
      <c r="D335" s="5" t="s">
        <v>856</v>
      </c>
      <c r="E335" s="5" t="s">
        <v>857</v>
      </c>
      <c r="F335" s="6">
        <v>43824</v>
      </c>
      <c r="G335" s="5"/>
      <c r="H335" s="5" t="s">
        <v>176</v>
      </c>
      <c r="I335" s="5" t="s">
        <v>177</v>
      </c>
      <c r="J335" s="5" t="s">
        <v>33</v>
      </c>
      <c r="K335" s="7">
        <v>734536</v>
      </c>
      <c r="L335" s="8">
        <v>132216.48000000001</v>
      </c>
      <c r="M335" s="9">
        <f t="shared" si="5"/>
        <v>866752.48</v>
      </c>
      <c r="N335" s="5" t="s">
        <v>34</v>
      </c>
    </row>
    <row r="336" spans="1:14">
      <c r="A336" s="3" t="s">
        <v>27</v>
      </c>
      <c r="B336" s="4">
        <v>23949</v>
      </c>
      <c r="C336" s="5" t="s">
        <v>674</v>
      </c>
      <c r="D336" s="5" t="s">
        <v>858</v>
      </c>
      <c r="E336" s="5" t="s">
        <v>859</v>
      </c>
      <c r="F336" s="6">
        <v>43826</v>
      </c>
      <c r="G336" s="5"/>
      <c r="H336" s="5" t="s">
        <v>176</v>
      </c>
      <c r="I336" s="5" t="s">
        <v>177</v>
      </c>
      <c r="J336" s="5" t="s">
        <v>33</v>
      </c>
      <c r="K336" s="7">
        <v>719988</v>
      </c>
      <c r="L336" s="8">
        <v>129597.84</v>
      </c>
      <c r="M336" s="9">
        <f t="shared" si="5"/>
        <v>849585.84</v>
      </c>
      <c r="N336" s="5" t="s">
        <v>34</v>
      </c>
    </row>
    <row r="337" spans="1:14">
      <c r="A337" s="3" t="s">
        <v>27</v>
      </c>
      <c r="B337" s="4">
        <v>13779</v>
      </c>
      <c r="C337" s="5" t="s">
        <v>860</v>
      </c>
      <c r="D337" s="11" t="s">
        <v>861</v>
      </c>
      <c r="E337" s="5" t="s">
        <v>862</v>
      </c>
      <c r="F337" s="6">
        <v>43826</v>
      </c>
      <c r="G337" s="5"/>
      <c r="H337" s="5" t="s">
        <v>411</v>
      </c>
      <c r="I337" s="5" t="s">
        <v>177</v>
      </c>
      <c r="J337" s="5" t="s">
        <v>33</v>
      </c>
      <c r="K337" s="7">
        <v>16002</v>
      </c>
      <c r="L337" s="8">
        <v>1920.24</v>
      </c>
      <c r="M337" s="9">
        <f t="shared" si="5"/>
        <v>17922.240000000002</v>
      </c>
      <c r="N337" s="5" t="s">
        <v>34</v>
      </c>
    </row>
    <row r="338" spans="1:14">
      <c r="A338" s="3" t="s">
        <v>27</v>
      </c>
      <c r="B338" s="4">
        <v>22125</v>
      </c>
      <c r="C338" s="5" t="s">
        <v>522</v>
      </c>
      <c r="D338" s="5" t="s">
        <v>863</v>
      </c>
      <c r="E338" s="5" t="s">
        <v>864</v>
      </c>
      <c r="F338" s="6">
        <v>43834</v>
      </c>
      <c r="G338" s="5"/>
      <c r="H338" s="5" t="s">
        <v>176</v>
      </c>
      <c r="I338" s="5" t="s">
        <v>177</v>
      </c>
      <c r="J338" s="5" t="s">
        <v>33</v>
      </c>
      <c r="K338" s="7">
        <v>1691000</v>
      </c>
      <c r="L338" s="8">
        <v>304380</v>
      </c>
      <c r="M338" s="9">
        <f t="shared" si="5"/>
        <v>1995380</v>
      </c>
      <c r="N338" s="5" t="s">
        <v>34</v>
      </c>
    </row>
    <row r="339" spans="1:14">
      <c r="A339" s="3" t="s">
        <v>27</v>
      </c>
      <c r="B339" s="4">
        <v>15115</v>
      </c>
      <c r="C339" s="5" t="s">
        <v>303</v>
      </c>
      <c r="D339" s="5" t="s">
        <v>865</v>
      </c>
      <c r="E339" s="5" t="s">
        <v>866</v>
      </c>
      <c r="F339" s="6">
        <v>43834</v>
      </c>
      <c r="G339" s="5"/>
      <c r="H339" s="5" t="s">
        <v>176</v>
      </c>
      <c r="I339" s="5" t="s">
        <v>177</v>
      </c>
      <c r="J339" s="5" t="s">
        <v>33</v>
      </c>
      <c r="K339" s="7">
        <v>15600</v>
      </c>
      <c r="L339" s="8">
        <v>2808</v>
      </c>
      <c r="M339" s="9">
        <f t="shared" si="5"/>
        <v>18408</v>
      </c>
      <c r="N339" s="5" t="s">
        <v>34</v>
      </c>
    </row>
    <row r="340" spans="1:14">
      <c r="A340" s="3" t="s">
        <v>27</v>
      </c>
      <c r="B340" s="4">
        <v>28139</v>
      </c>
      <c r="C340" s="5" t="s">
        <v>820</v>
      </c>
      <c r="D340" s="5" t="s">
        <v>867</v>
      </c>
      <c r="E340" s="5" t="s">
        <v>868</v>
      </c>
      <c r="F340" s="6">
        <v>43836</v>
      </c>
      <c r="G340" s="5"/>
      <c r="H340" s="5" t="s">
        <v>176</v>
      </c>
      <c r="I340" s="5" t="s">
        <v>177</v>
      </c>
      <c r="J340" s="5" t="s">
        <v>33</v>
      </c>
      <c r="K340" s="7">
        <v>467500</v>
      </c>
      <c r="L340" s="10"/>
      <c r="M340" s="9">
        <f t="shared" si="5"/>
        <v>467500</v>
      </c>
      <c r="N340" s="5" t="s">
        <v>34</v>
      </c>
    </row>
    <row r="341" spans="1:14">
      <c r="A341" s="3" t="s">
        <v>27</v>
      </c>
      <c r="B341" s="4">
        <v>20026</v>
      </c>
      <c r="C341" s="5" t="s">
        <v>869</v>
      </c>
      <c r="D341" s="5" t="s">
        <v>870</v>
      </c>
      <c r="E341" s="5" t="s">
        <v>871</v>
      </c>
      <c r="F341" s="6">
        <v>43837</v>
      </c>
      <c r="G341" s="5"/>
      <c r="H341" s="5" t="s">
        <v>176</v>
      </c>
      <c r="I341" s="5" t="s">
        <v>177</v>
      </c>
      <c r="J341" s="5" t="s">
        <v>33</v>
      </c>
      <c r="K341" s="7">
        <v>3765006.0040000002</v>
      </c>
      <c r="L341" s="8">
        <v>719515.78</v>
      </c>
      <c r="M341" s="9">
        <f t="shared" si="5"/>
        <v>4484521.784</v>
      </c>
      <c r="N341" s="5" t="s">
        <v>34</v>
      </c>
    </row>
    <row r="342" spans="1:14">
      <c r="A342" s="3" t="s">
        <v>27</v>
      </c>
      <c r="B342" s="4">
        <v>28190</v>
      </c>
      <c r="C342" s="5" t="s">
        <v>872</v>
      </c>
      <c r="D342" s="5" t="s">
        <v>873</v>
      </c>
      <c r="E342" s="5" t="s">
        <v>874</v>
      </c>
      <c r="F342" s="6">
        <v>43839</v>
      </c>
      <c r="G342" s="5"/>
      <c r="H342" s="5" t="s">
        <v>176</v>
      </c>
      <c r="I342" s="5" t="s">
        <v>177</v>
      </c>
      <c r="J342" s="5" t="s">
        <v>33</v>
      </c>
      <c r="K342" s="7">
        <v>137565682.51499999</v>
      </c>
      <c r="L342" s="8">
        <v>24761822.890000001</v>
      </c>
      <c r="M342" s="9">
        <f t="shared" si="5"/>
        <v>162327505.40499997</v>
      </c>
      <c r="N342" s="5" t="s">
        <v>34</v>
      </c>
    </row>
    <row r="343" spans="1:14">
      <c r="A343" s="3" t="s">
        <v>27</v>
      </c>
      <c r="B343" s="4">
        <v>3425</v>
      </c>
      <c r="C343" s="5" t="s">
        <v>277</v>
      </c>
      <c r="D343" s="5" t="s">
        <v>875</v>
      </c>
      <c r="E343" s="5" t="s">
        <v>876</v>
      </c>
      <c r="F343" s="6">
        <v>43839</v>
      </c>
      <c r="G343" s="5"/>
      <c r="H343" s="5" t="s">
        <v>176</v>
      </c>
      <c r="I343" s="5" t="s">
        <v>177</v>
      </c>
      <c r="J343" s="5" t="s">
        <v>33</v>
      </c>
      <c r="K343" s="7">
        <v>1068000</v>
      </c>
      <c r="L343" s="8">
        <v>192240</v>
      </c>
      <c r="M343" s="9">
        <f t="shared" si="5"/>
        <v>1260240</v>
      </c>
      <c r="N343" s="5" t="s">
        <v>34</v>
      </c>
    </row>
    <row r="344" spans="1:14">
      <c r="A344" s="3" t="s">
        <v>27</v>
      </c>
      <c r="B344" s="4">
        <v>28198</v>
      </c>
      <c r="C344" s="5" t="s">
        <v>877</v>
      </c>
      <c r="D344" s="5" t="s">
        <v>878</v>
      </c>
      <c r="E344" s="5" t="s">
        <v>879</v>
      </c>
      <c r="F344" s="6">
        <v>43841</v>
      </c>
      <c r="G344" s="5"/>
      <c r="H344" s="5" t="s">
        <v>176</v>
      </c>
      <c r="I344" s="5" t="s">
        <v>177</v>
      </c>
      <c r="J344" s="5" t="s">
        <v>33</v>
      </c>
      <c r="K344" s="7">
        <v>454920</v>
      </c>
      <c r="L344" s="8">
        <v>81885.600000000006</v>
      </c>
      <c r="M344" s="9">
        <f t="shared" si="5"/>
        <v>536805.6</v>
      </c>
      <c r="N344" s="5" t="s">
        <v>34</v>
      </c>
    </row>
    <row r="345" spans="1:14">
      <c r="A345" s="3" t="s">
        <v>27</v>
      </c>
      <c r="B345" s="4">
        <v>24746</v>
      </c>
      <c r="C345" s="5" t="s">
        <v>158</v>
      </c>
      <c r="D345" s="5" t="s">
        <v>880</v>
      </c>
      <c r="E345" s="5" t="s">
        <v>881</v>
      </c>
      <c r="F345" s="6">
        <v>43843</v>
      </c>
      <c r="G345" s="5"/>
      <c r="H345" s="5" t="s">
        <v>176</v>
      </c>
      <c r="I345" s="5" t="s">
        <v>177</v>
      </c>
      <c r="J345" s="5" t="s">
        <v>33</v>
      </c>
      <c r="K345" s="7">
        <v>480800</v>
      </c>
      <c r="L345" s="8">
        <v>86544</v>
      </c>
      <c r="M345" s="9">
        <f t="shared" si="5"/>
        <v>567344</v>
      </c>
      <c r="N345" s="5" t="s">
        <v>34</v>
      </c>
    </row>
    <row r="346" spans="1:14">
      <c r="A346" s="3" t="s">
        <v>27</v>
      </c>
      <c r="B346" s="4">
        <v>28201</v>
      </c>
      <c r="C346" s="5" t="s">
        <v>882</v>
      </c>
      <c r="D346" s="5" t="s">
        <v>883</v>
      </c>
      <c r="E346" s="5" t="s">
        <v>884</v>
      </c>
      <c r="F346" s="6">
        <v>43844</v>
      </c>
      <c r="G346" s="5"/>
      <c r="H346" s="5" t="s">
        <v>176</v>
      </c>
      <c r="I346" s="5" t="s">
        <v>177</v>
      </c>
      <c r="J346" s="5" t="s">
        <v>33</v>
      </c>
      <c r="K346" s="7">
        <v>263250</v>
      </c>
      <c r="L346" s="8">
        <v>47385</v>
      </c>
      <c r="M346" s="9">
        <f t="shared" si="5"/>
        <v>310635</v>
      </c>
      <c r="N346" s="5" t="s">
        <v>34</v>
      </c>
    </row>
    <row r="347" spans="1:14">
      <c r="A347" s="3" t="s">
        <v>27</v>
      </c>
      <c r="B347" s="4">
        <v>20365</v>
      </c>
      <c r="C347" s="5" t="s">
        <v>885</v>
      </c>
      <c r="D347" s="5" t="s">
        <v>886</v>
      </c>
      <c r="E347" s="5" t="s">
        <v>887</v>
      </c>
      <c r="F347" s="6">
        <v>43844</v>
      </c>
      <c r="G347" s="5"/>
      <c r="H347" s="5" t="s">
        <v>176</v>
      </c>
      <c r="I347" s="5" t="s">
        <v>177</v>
      </c>
      <c r="J347" s="5" t="s">
        <v>33</v>
      </c>
      <c r="K347" s="7">
        <v>1069233</v>
      </c>
      <c r="L347" s="8">
        <v>192461.94</v>
      </c>
      <c r="M347" s="9">
        <f t="shared" si="5"/>
        <v>1261694.94</v>
      </c>
      <c r="N347" s="5" t="s">
        <v>34</v>
      </c>
    </row>
    <row r="348" spans="1:14">
      <c r="A348" s="3" t="s">
        <v>27</v>
      </c>
      <c r="B348" s="4">
        <v>21161</v>
      </c>
      <c r="C348" s="5" t="s">
        <v>363</v>
      </c>
      <c r="D348" s="5" t="s">
        <v>888</v>
      </c>
      <c r="E348" s="5" t="s">
        <v>889</v>
      </c>
      <c r="F348" s="6">
        <v>43846</v>
      </c>
      <c r="G348" s="5"/>
      <c r="H348" s="5" t="s">
        <v>176</v>
      </c>
      <c r="I348" s="5" t="s">
        <v>177</v>
      </c>
      <c r="J348" s="5" t="s">
        <v>33</v>
      </c>
      <c r="K348" s="7">
        <v>2000</v>
      </c>
      <c r="L348" s="10"/>
      <c r="M348" s="9">
        <f t="shared" si="5"/>
        <v>2000</v>
      </c>
      <c r="N348" s="5" t="s">
        <v>34</v>
      </c>
    </row>
    <row r="349" spans="1:14">
      <c r="A349" s="3" t="s">
        <v>27</v>
      </c>
      <c r="B349" s="4">
        <v>26243</v>
      </c>
      <c r="C349" s="5" t="s">
        <v>328</v>
      </c>
      <c r="D349" s="5" t="s">
        <v>890</v>
      </c>
      <c r="E349" s="5" t="s">
        <v>891</v>
      </c>
      <c r="F349" s="6">
        <v>43853</v>
      </c>
      <c r="G349" s="5"/>
      <c r="H349" s="5" t="s">
        <v>176</v>
      </c>
      <c r="I349" s="5" t="s">
        <v>177</v>
      </c>
      <c r="J349" s="5" t="s">
        <v>33</v>
      </c>
      <c r="K349" s="7">
        <v>572400</v>
      </c>
      <c r="L349" s="8">
        <v>103032</v>
      </c>
      <c r="M349" s="9">
        <f t="shared" si="5"/>
        <v>675432</v>
      </c>
      <c r="N349" s="5" t="s">
        <v>34</v>
      </c>
    </row>
    <row r="350" spans="1:14">
      <c r="A350" s="3" t="s">
        <v>27</v>
      </c>
      <c r="B350" s="4">
        <v>22480</v>
      </c>
      <c r="C350" s="5" t="s">
        <v>241</v>
      </c>
      <c r="D350" s="5" t="s">
        <v>892</v>
      </c>
      <c r="E350" s="5" t="s">
        <v>893</v>
      </c>
      <c r="F350" s="6">
        <v>43853</v>
      </c>
      <c r="G350" s="5"/>
      <c r="H350" s="5" t="s">
        <v>176</v>
      </c>
      <c r="I350" s="5" t="s">
        <v>177</v>
      </c>
      <c r="J350" s="5" t="s">
        <v>33</v>
      </c>
      <c r="K350" s="7">
        <v>1302000</v>
      </c>
      <c r="L350" s="8">
        <v>234360</v>
      </c>
      <c r="M350" s="9">
        <f t="shared" si="5"/>
        <v>1536360</v>
      </c>
      <c r="N350" s="5" t="s">
        <v>34</v>
      </c>
    </row>
    <row r="351" spans="1:14">
      <c r="A351" s="3" t="s">
        <v>27</v>
      </c>
      <c r="B351" s="4">
        <v>26248</v>
      </c>
      <c r="C351" s="5" t="s">
        <v>284</v>
      </c>
      <c r="D351" s="5" t="s">
        <v>894</v>
      </c>
      <c r="E351" s="5" t="s">
        <v>895</v>
      </c>
      <c r="F351" s="6">
        <v>43853</v>
      </c>
      <c r="G351" s="5"/>
      <c r="H351" s="5" t="s">
        <v>176</v>
      </c>
      <c r="I351" s="5" t="s">
        <v>177</v>
      </c>
      <c r="J351" s="5" t="s">
        <v>33</v>
      </c>
      <c r="K351" s="7">
        <v>1864500</v>
      </c>
      <c r="L351" s="8">
        <v>335610</v>
      </c>
      <c r="M351" s="9">
        <f t="shared" si="5"/>
        <v>2200110</v>
      </c>
      <c r="N351" s="5" t="s">
        <v>34</v>
      </c>
    </row>
    <row r="352" spans="1:14">
      <c r="A352" s="3" t="s">
        <v>27</v>
      </c>
      <c r="B352" s="4">
        <v>3665</v>
      </c>
      <c r="C352" s="5" t="s">
        <v>423</v>
      </c>
      <c r="D352" s="5" t="s">
        <v>896</v>
      </c>
      <c r="E352" s="5" t="s">
        <v>897</v>
      </c>
      <c r="F352" s="6">
        <v>43854</v>
      </c>
      <c r="G352" s="5"/>
      <c r="H352" s="5" t="s">
        <v>176</v>
      </c>
      <c r="I352" s="5" t="s">
        <v>177</v>
      </c>
      <c r="J352" s="5" t="s">
        <v>33</v>
      </c>
      <c r="K352" s="7">
        <v>1092001.82</v>
      </c>
      <c r="L352" s="8">
        <v>196560.32</v>
      </c>
      <c r="M352" s="9">
        <f t="shared" si="5"/>
        <v>1288562.1400000001</v>
      </c>
      <c r="N352" s="5" t="s">
        <v>34</v>
      </c>
    </row>
    <row r="353" spans="1:14">
      <c r="A353" s="3" t="s">
        <v>27</v>
      </c>
      <c r="B353" s="4">
        <v>20995</v>
      </c>
      <c r="C353" s="5" t="s">
        <v>380</v>
      </c>
      <c r="D353" s="5" t="s">
        <v>898</v>
      </c>
      <c r="E353" s="5" t="s">
        <v>899</v>
      </c>
      <c r="F353" s="6">
        <v>43859</v>
      </c>
      <c r="G353" s="5"/>
      <c r="H353" s="5" t="s">
        <v>176</v>
      </c>
      <c r="I353" s="5" t="s">
        <v>177</v>
      </c>
      <c r="J353" s="5" t="s">
        <v>33</v>
      </c>
      <c r="K353" s="7">
        <v>732730</v>
      </c>
      <c r="L353" s="8">
        <v>131891.4</v>
      </c>
      <c r="M353" s="9">
        <f t="shared" si="5"/>
        <v>864621.4</v>
      </c>
      <c r="N353" s="5" t="s">
        <v>34</v>
      </c>
    </row>
    <row r="354" spans="1:14">
      <c r="A354" s="3" t="s">
        <v>27</v>
      </c>
      <c r="B354" s="4">
        <v>22125</v>
      </c>
      <c r="C354" s="5" t="s">
        <v>522</v>
      </c>
      <c r="D354" s="5" t="s">
        <v>900</v>
      </c>
      <c r="E354" s="5" t="s">
        <v>901</v>
      </c>
      <c r="F354" s="6">
        <v>43862</v>
      </c>
      <c r="G354" s="5"/>
      <c r="H354" s="5" t="s">
        <v>176</v>
      </c>
      <c r="I354" s="5" t="s">
        <v>177</v>
      </c>
      <c r="J354" s="5" t="s">
        <v>33</v>
      </c>
      <c r="K354" s="7">
        <v>67350</v>
      </c>
      <c r="L354" s="8">
        <v>12123</v>
      </c>
      <c r="M354" s="9">
        <f t="shared" si="5"/>
        <v>79473</v>
      </c>
      <c r="N354" s="5" t="s">
        <v>34</v>
      </c>
    </row>
    <row r="355" spans="1:14">
      <c r="A355" s="3" t="s">
        <v>27</v>
      </c>
      <c r="B355" s="4">
        <v>20365</v>
      </c>
      <c r="C355" s="5" t="s">
        <v>885</v>
      </c>
      <c r="D355" s="5" t="s">
        <v>902</v>
      </c>
      <c r="E355" s="5" t="s">
        <v>903</v>
      </c>
      <c r="F355" s="6">
        <v>43864</v>
      </c>
      <c r="G355" s="5"/>
      <c r="H355" s="5" t="s">
        <v>176</v>
      </c>
      <c r="I355" s="5" t="s">
        <v>177</v>
      </c>
      <c r="J355" s="5" t="s">
        <v>33</v>
      </c>
      <c r="K355" s="7">
        <v>955000</v>
      </c>
      <c r="L355" s="8">
        <v>171900</v>
      </c>
      <c r="M355" s="9">
        <f t="shared" si="5"/>
        <v>1126900</v>
      </c>
      <c r="N355" s="5" t="s">
        <v>34</v>
      </c>
    </row>
    <row r="356" spans="1:14">
      <c r="A356" s="3" t="s">
        <v>27</v>
      </c>
      <c r="B356" s="4">
        <v>27913</v>
      </c>
      <c r="C356" s="5" t="s">
        <v>636</v>
      </c>
      <c r="D356" s="5" t="s">
        <v>904</v>
      </c>
      <c r="E356" s="5" t="s">
        <v>905</v>
      </c>
      <c r="F356" s="6">
        <v>43864</v>
      </c>
      <c r="G356" s="5"/>
      <c r="H356" s="5" t="s">
        <v>411</v>
      </c>
      <c r="I356" s="5" t="s">
        <v>177</v>
      </c>
      <c r="J356" s="5" t="s">
        <v>33</v>
      </c>
      <c r="K356" s="7">
        <v>1275000</v>
      </c>
      <c r="L356" s="8">
        <v>229500</v>
      </c>
      <c r="M356" s="9">
        <f t="shared" si="5"/>
        <v>1504500</v>
      </c>
      <c r="N356" s="5" t="s">
        <v>474</v>
      </c>
    </row>
    <row r="357" spans="1:14">
      <c r="A357" s="3" t="s">
        <v>27</v>
      </c>
      <c r="B357" s="4">
        <v>3906</v>
      </c>
      <c r="C357" s="5" t="s">
        <v>48</v>
      </c>
      <c r="D357" s="5" t="s">
        <v>906</v>
      </c>
      <c r="E357" s="5" t="s">
        <v>907</v>
      </c>
      <c r="F357" s="6">
        <v>43865</v>
      </c>
      <c r="G357" s="5"/>
      <c r="H357" s="5" t="s">
        <v>176</v>
      </c>
      <c r="I357" s="5" t="s">
        <v>177</v>
      </c>
      <c r="J357" s="5" t="s">
        <v>33</v>
      </c>
      <c r="K357" s="7">
        <v>3937000</v>
      </c>
      <c r="L357" s="8">
        <v>708660</v>
      </c>
      <c r="M357" s="9">
        <f t="shared" si="5"/>
        <v>4645660</v>
      </c>
      <c r="N357" s="5" t="s">
        <v>34</v>
      </c>
    </row>
    <row r="358" spans="1:14">
      <c r="A358" s="3" t="s">
        <v>27</v>
      </c>
      <c r="B358" s="4">
        <v>26698</v>
      </c>
      <c r="C358" s="5" t="s">
        <v>908</v>
      </c>
      <c r="D358" s="5" t="s">
        <v>909</v>
      </c>
      <c r="E358" s="5" t="s">
        <v>910</v>
      </c>
      <c r="F358" s="6">
        <v>43865</v>
      </c>
      <c r="G358" s="5"/>
      <c r="H358" s="5" t="s">
        <v>411</v>
      </c>
      <c r="I358" s="5" t="s">
        <v>177</v>
      </c>
      <c r="J358" s="5" t="s">
        <v>33</v>
      </c>
      <c r="K358" s="7">
        <v>205632</v>
      </c>
      <c r="L358" s="8">
        <v>64223.76</v>
      </c>
      <c r="M358" s="9">
        <f t="shared" si="5"/>
        <v>269855.76</v>
      </c>
      <c r="N358" s="5" t="s">
        <v>34</v>
      </c>
    </row>
    <row r="359" spans="1:14">
      <c r="A359" s="3" t="s">
        <v>27</v>
      </c>
      <c r="B359" s="4">
        <v>28251</v>
      </c>
      <c r="C359" s="5" t="s">
        <v>911</v>
      </c>
      <c r="D359" s="5" t="s">
        <v>912</v>
      </c>
      <c r="E359" s="5" t="s">
        <v>913</v>
      </c>
      <c r="F359" s="6">
        <v>43867</v>
      </c>
      <c r="G359" s="5"/>
      <c r="H359" s="5" t="s">
        <v>176</v>
      </c>
      <c r="I359" s="5" t="s">
        <v>177</v>
      </c>
      <c r="J359" s="5" t="s">
        <v>33</v>
      </c>
      <c r="K359" s="7">
        <v>24750</v>
      </c>
      <c r="L359" s="8">
        <v>4455</v>
      </c>
      <c r="M359" s="9">
        <f t="shared" si="5"/>
        <v>29205</v>
      </c>
      <c r="N359" s="5" t="s">
        <v>371</v>
      </c>
    </row>
    <row r="360" spans="1:14">
      <c r="A360" s="3" t="s">
        <v>27</v>
      </c>
      <c r="B360" s="4">
        <v>25629</v>
      </c>
      <c r="C360" s="5" t="s">
        <v>318</v>
      </c>
      <c r="D360" s="5" t="s">
        <v>914</v>
      </c>
      <c r="E360" s="5" t="s">
        <v>915</v>
      </c>
      <c r="F360" s="6">
        <v>43868</v>
      </c>
      <c r="G360" s="5"/>
      <c r="H360" s="5" t="s">
        <v>176</v>
      </c>
      <c r="I360" s="5" t="s">
        <v>177</v>
      </c>
      <c r="J360" s="5" t="s">
        <v>33</v>
      </c>
      <c r="K360" s="7">
        <v>9588</v>
      </c>
      <c r="L360" s="8">
        <v>1725.84</v>
      </c>
      <c r="M360" s="9">
        <f t="shared" si="5"/>
        <v>11313.84</v>
      </c>
      <c r="N360" s="5" t="s">
        <v>53</v>
      </c>
    </row>
    <row r="361" spans="1:14">
      <c r="A361" s="3" t="s">
        <v>27</v>
      </c>
      <c r="B361" s="4">
        <v>25629</v>
      </c>
      <c r="C361" s="5" t="s">
        <v>318</v>
      </c>
      <c r="D361" s="5" t="s">
        <v>916</v>
      </c>
      <c r="E361" s="5" t="s">
        <v>917</v>
      </c>
      <c r="F361" s="6">
        <v>43868</v>
      </c>
      <c r="G361" s="5"/>
      <c r="H361" s="5" t="s">
        <v>176</v>
      </c>
      <c r="I361" s="5" t="s">
        <v>177</v>
      </c>
      <c r="J361" s="5" t="s">
        <v>33</v>
      </c>
      <c r="K361" s="7">
        <v>9588</v>
      </c>
      <c r="L361" s="8">
        <v>1725.84</v>
      </c>
      <c r="M361" s="9">
        <f t="shared" si="5"/>
        <v>11313.84</v>
      </c>
      <c r="N361" s="5" t="s">
        <v>53</v>
      </c>
    </row>
    <row r="362" spans="1:14">
      <c r="A362" s="3" t="s">
        <v>27</v>
      </c>
      <c r="B362" s="4">
        <v>20365</v>
      </c>
      <c r="C362" s="5" t="s">
        <v>885</v>
      </c>
      <c r="D362" s="5" t="s">
        <v>918</v>
      </c>
      <c r="E362" s="5" t="s">
        <v>919</v>
      </c>
      <c r="F362" s="6">
        <v>43871</v>
      </c>
      <c r="G362" s="5"/>
      <c r="H362" s="5" t="s">
        <v>176</v>
      </c>
      <c r="I362" s="5" t="s">
        <v>177</v>
      </c>
      <c r="J362" s="5" t="s">
        <v>33</v>
      </c>
      <c r="K362" s="7">
        <v>2974066</v>
      </c>
      <c r="L362" s="8">
        <v>535331.88</v>
      </c>
      <c r="M362" s="9">
        <f t="shared" si="5"/>
        <v>3509397.88</v>
      </c>
      <c r="N362" s="5" t="s">
        <v>34</v>
      </c>
    </row>
    <row r="363" spans="1:14">
      <c r="A363" s="3" t="s">
        <v>27</v>
      </c>
      <c r="B363" s="4">
        <v>26713</v>
      </c>
      <c r="C363" s="5" t="s">
        <v>920</v>
      </c>
      <c r="D363" s="5" t="s">
        <v>921</v>
      </c>
      <c r="E363" s="5" t="s">
        <v>922</v>
      </c>
      <c r="F363" s="6">
        <v>43873</v>
      </c>
      <c r="G363" s="5"/>
      <c r="H363" s="5" t="s">
        <v>923</v>
      </c>
      <c r="I363" s="5" t="s">
        <v>177</v>
      </c>
      <c r="J363" s="5" t="s">
        <v>33</v>
      </c>
      <c r="K363" s="7">
        <v>203750</v>
      </c>
      <c r="L363" s="8">
        <v>36675</v>
      </c>
      <c r="M363" s="9">
        <f t="shared" si="5"/>
        <v>240425</v>
      </c>
      <c r="N363" s="5" t="s">
        <v>47</v>
      </c>
    </row>
    <row r="364" spans="1:14">
      <c r="A364" s="3" t="s">
        <v>27</v>
      </c>
      <c r="B364" s="4">
        <v>27862</v>
      </c>
      <c r="C364" s="5" t="s">
        <v>590</v>
      </c>
      <c r="D364" s="5" t="s">
        <v>924</v>
      </c>
      <c r="E364" s="5" t="s">
        <v>925</v>
      </c>
      <c r="F364" s="6">
        <v>43874</v>
      </c>
      <c r="G364" s="5"/>
      <c r="H364" s="5" t="s">
        <v>176</v>
      </c>
      <c r="I364" s="5" t="s">
        <v>177</v>
      </c>
      <c r="J364" s="5" t="s">
        <v>33</v>
      </c>
      <c r="K364" s="7">
        <v>252000</v>
      </c>
      <c r="L364" s="8">
        <v>45360</v>
      </c>
      <c r="M364" s="9">
        <f t="shared" si="5"/>
        <v>297360</v>
      </c>
      <c r="N364" s="5" t="s">
        <v>34</v>
      </c>
    </row>
    <row r="365" spans="1:14">
      <c r="A365" s="3" t="s">
        <v>27</v>
      </c>
      <c r="B365" s="4">
        <v>26568</v>
      </c>
      <c r="C365" s="5" t="s">
        <v>196</v>
      </c>
      <c r="D365" s="5" t="s">
        <v>926</v>
      </c>
      <c r="E365" s="5" t="s">
        <v>927</v>
      </c>
      <c r="F365" s="6">
        <v>43878</v>
      </c>
      <c r="G365" s="5"/>
      <c r="H365" s="5" t="s">
        <v>176</v>
      </c>
      <c r="I365" s="5" t="s">
        <v>177</v>
      </c>
      <c r="J365" s="5" t="s">
        <v>33</v>
      </c>
      <c r="K365" s="7">
        <v>299120</v>
      </c>
      <c r="L365" s="8">
        <v>53841.599999999999</v>
      </c>
      <c r="M365" s="9">
        <f t="shared" si="5"/>
        <v>352961.6</v>
      </c>
      <c r="N365" s="5" t="s">
        <v>34</v>
      </c>
    </row>
    <row r="366" spans="1:14">
      <c r="A366" s="3" t="s">
        <v>27</v>
      </c>
      <c r="B366" s="4">
        <v>3727</v>
      </c>
      <c r="C366" s="5" t="s">
        <v>398</v>
      </c>
      <c r="D366" s="5" t="s">
        <v>928</v>
      </c>
      <c r="E366" s="5" t="s">
        <v>929</v>
      </c>
      <c r="F366" s="6">
        <v>43879</v>
      </c>
      <c r="G366" s="5"/>
      <c r="H366" s="5" t="s">
        <v>176</v>
      </c>
      <c r="I366" s="5" t="s">
        <v>177</v>
      </c>
      <c r="J366" s="5" t="s">
        <v>33</v>
      </c>
      <c r="K366" s="7">
        <v>74700</v>
      </c>
      <c r="L366" s="8">
        <v>13446</v>
      </c>
      <c r="M366" s="9">
        <f t="shared" si="5"/>
        <v>88146</v>
      </c>
      <c r="N366" s="5" t="s">
        <v>34</v>
      </c>
    </row>
    <row r="367" spans="1:14">
      <c r="A367" s="3" t="s">
        <v>27</v>
      </c>
      <c r="B367" s="4">
        <v>3727</v>
      </c>
      <c r="C367" s="5" t="s">
        <v>398</v>
      </c>
      <c r="D367" s="5" t="s">
        <v>930</v>
      </c>
      <c r="E367" s="5" t="s">
        <v>931</v>
      </c>
      <c r="F367" s="6">
        <v>43880</v>
      </c>
      <c r="G367" s="5"/>
      <c r="H367" s="5" t="s">
        <v>176</v>
      </c>
      <c r="I367" s="5" t="s">
        <v>177</v>
      </c>
      <c r="J367" s="5" t="s">
        <v>33</v>
      </c>
      <c r="K367" s="7">
        <v>600000</v>
      </c>
      <c r="L367" s="8">
        <v>108000</v>
      </c>
      <c r="M367" s="9">
        <f t="shared" si="5"/>
        <v>708000</v>
      </c>
      <c r="N367" s="5" t="s">
        <v>34</v>
      </c>
    </row>
    <row r="368" spans="1:14">
      <c r="A368" s="3" t="s">
        <v>27</v>
      </c>
      <c r="B368" s="4">
        <v>17537</v>
      </c>
      <c r="C368" s="5" t="s">
        <v>441</v>
      </c>
      <c r="D368" s="5" t="s">
        <v>932</v>
      </c>
      <c r="E368" s="5" t="s">
        <v>933</v>
      </c>
      <c r="F368" s="6">
        <v>43889</v>
      </c>
      <c r="G368" s="5"/>
      <c r="H368" s="5" t="s">
        <v>176</v>
      </c>
      <c r="I368" s="5" t="s">
        <v>177</v>
      </c>
      <c r="J368" s="5" t="s">
        <v>33</v>
      </c>
      <c r="K368" s="7">
        <v>88000</v>
      </c>
      <c r="L368" s="8">
        <v>15840</v>
      </c>
      <c r="M368" s="9">
        <f t="shared" si="5"/>
        <v>103840</v>
      </c>
      <c r="N368" s="5" t="s">
        <v>34</v>
      </c>
    </row>
    <row r="369" spans="1:14">
      <c r="A369" s="3" t="s">
        <v>27</v>
      </c>
      <c r="B369" s="4">
        <v>17537</v>
      </c>
      <c r="C369" s="5" t="s">
        <v>441</v>
      </c>
      <c r="D369" s="5" t="s">
        <v>934</v>
      </c>
      <c r="E369" s="5" t="s">
        <v>935</v>
      </c>
      <c r="F369" s="6">
        <v>43889</v>
      </c>
      <c r="G369" s="5"/>
      <c r="H369" s="5" t="s">
        <v>176</v>
      </c>
      <c r="I369" s="5" t="s">
        <v>177</v>
      </c>
      <c r="J369" s="5" t="s">
        <v>33</v>
      </c>
      <c r="K369" s="7">
        <v>24000</v>
      </c>
      <c r="L369" s="8">
        <v>4320</v>
      </c>
      <c r="M369" s="9">
        <f t="shared" si="5"/>
        <v>28320</v>
      </c>
      <c r="N369" s="5" t="s">
        <v>34</v>
      </c>
    </row>
    <row r="370" spans="1:14">
      <c r="A370" s="3" t="s">
        <v>27</v>
      </c>
      <c r="B370" s="4">
        <v>19669</v>
      </c>
      <c r="C370" s="5" t="s">
        <v>71</v>
      </c>
      <c r="D370" s="5" t="s">
        <v>936</v>
      </c>
      <c r="E370" s="5" t="s">
        <v>937</v>
      </c>
      <c r="F370" s="6">
        <v>43903</v>
      </c>
      <c r="G370" s="5"/>
      <c r="H370" s="5" t="s">
        <v>176</v>
      </c>
      <c r="I370" s="5" t="s">
        <v>177</v>
      </c>
      <c r="J370" s="5" t="s">
        <v>33</v>
      </c>
      <c r="K370" s="7">
        <v>246840</v>
      </c>
      <c r="L370" s="8">
        <v>44431.199999999997</v>
      </c>
      <c r="M370" s="9">
        <f t="shared" si="5"/>
        <v>291271.2</v>
      </c>
      <c r="N370" s="5" t="s">
        <v>220</v>
      </c>
    </row>
    <row r="371" spans="1:14">
      <c r="A371" s="3" t="s">
        <v>27</v>
      </c>
      <c r="B371" s="4">
        <v>26781</v>
      </c>
      <c r="C371" s="5" t="s">
        <v>224</v>
      </c>
      <c r="D371" s="5" t="s">
        <v>938</v>
      </c>
      <c r="E371" s="5" t="s">
        <v>939</v>
      </c>
      <c r="F371" s="6">
        <v>43904</v>
      </c>
      <c r="G371" s="5"/>
      <c r="H371" s="5" t="s">
        <v>176</v>
      </c>
      <c r="I371" s="5" t="s">
        <v>177</v>
      </c>
      <c r="J371" s="5" t="s">
        <v>33</v>
      </c>
      <c r="K371" s="7">
        <v>160000</v>
      </c>
      <c r="L371" s="8">
        <v>28800</v>
      </c>
      <c r="M371" s="9">
        <f t="shared" si="5"/>
        <v>188800</v>
      </c>
      <c r="N371" s="5" t="s">
        <v>34</v>
      </c>
    </row>
    <row r="372" spans="1:14">
      <c r="A372" s="3" t="s">
        <v>27</v>
      </c>
      <c r="B372" s="4">
        <v>28251</v>
      </c>
      <c r="C372" s="5" t="s">
        <v>911</v>
      </c>
      <c r="D372" s="5" t="s">
        <v>940</v>
      </c>
      <c r="E372" s="5" t="s">
        <v>941</v>
      </c>
      <c r="F372" s="6">
        <v>43906</v>
      </c>
      <c r="G372" s="5"/>
      <c r="H372" s="5" t="s">
        <v>176</v>
      </c>
      <c r="I372" s="5" t="s">
        <v>177</v>
      </c>
      <c r="J372" s="5" t="s">
        <v>33</v>
      </c>
      <c r="K372" s="7">
        <v>295000</v>
      </c>
      <c r="L372" s="8">
        <v>53100</v>
      </c>
      <c r="M372" s="9">
        <f t="shared" si="5"/>
        <v>348100</v>
      </c>
      <c r="N372" s="5" t="s">
        <v>34</v>
      </c>
    </row>
    <row r="373" spans="1:14">
      <c r="A373" s="3" t="s">
        <v>27</v>
      </c>
      <c r="B373" s="4">
        <v>25029</v>
      </c>
      <c r="C373" s="5" t="s">
        <v>942</v>
      </c>
      <c r="D373" s="5" t="s">
        <v>943</v>
      </c>
      <c r="E373" s="5" t="s">
        <v>944</v>
      </c>
      <c r="F373" s="6">
        <v>43907</v>
      </c>
      <c r="G373" s="5"/>
      <c r="H373" s="5" t="s">
        <v>411</v>
      </c>
      <c r="I373" s="5" t="s">
        <v>177</v>
      </c>
      <c r="J373" s="5" t="s">
        <v>33</v>
      </c>
      <c r="K373" s="7">
        <v>1495000</v>
      </c>
      <c r="L373" s="8">
        <v>269100</v>
      </c>
      <c r="M373" s="9">
        <f t="shared" si="5"/>
        <v>1764100</v>
      </c>
      <c r="N373" s="5" t="s">
        <v>34</v>
      </c>
    </row>
    <row r="374" spans="1:14">
      <c r="A374" s="3" t="s">
        <v>27</v>
      </c>
      <c r="B374" s="4">
        <v>13894</v>
      </c>
      <c r="C374" s="5" t="s">
        <v>945</v>
      </c>
      <c r="D374" s="5" t="s">
        <v>946</v>
      </c>
      <c r="E374" s="5" t="s">
        <v>947</v>
      </c>
      <c r="F374" s="6">
        <v>43908</v>
      </c>
      <c r="G374" s="5"/>
      <c r="H374" s="5" t="s">
        <v>411</v>
      </c>
      <c r="I374" s="5" t="s">
        <v>177</v>
      </c>
      <c r="J374" s="5" t="s">
        <v>33</v>
      </c>
      <c r="K374" s="7">
        <v>16929476</v>
      </c>
      <c r="L374" s="8">
        <v>3646609.14</v>
      </c>
      <c r="M374" s="9">
        <f t="shared" si="5"/>
        <v>20576085.140000001</v>
      </c>
      <c r="N374" s="5" t="s">
        <v>731</v>
      </c>
    </row>
    <row r="375" spans="1:14">
      <c r="A375" s="3" t="s">
        <v>27</v>
      </c>
      <c r="B375" s="4">
        <v>27110</v>
      </c>
      <c r="C375" s="5" t="s">
        <v>948</v>
      </c>
      <c r="D375" s="5" t="s">
        <v>949</v>
      </c>
      <c r="E375" s="5" t="s">
        <v>950</v>
      </c>
      <c r="F375" s="6">
        <v>43914</v>
      </c>
      <c r="G375" s="5"/>
      <c r="H375" s="5" t="s">
        <v>176</v>
      </c>
      <c r="I375" s="5" t="s">
        <v>177</v>
      </c>
      <c r="J375" s="5" t="s">
        <v>33</v>
      </c>
      <c r="K375" s="7">
        <v>530638.5</v>
      </c>
      <c r="L375" s="8">
        <v>95514.93</v>
      </c>
      <c r="M375" s="9">
        <f t="shared" si="5"/>
        <v>626153.42999999993</v>
      </c>
      <c r="N375" s="5" t="s">
        <v>34</v>
      </c>
    </row>
    <row r="376" spans="1:14">
      <c r="A376" s="3" t="s">
        <v>27</v>
      </c>
      <c r="B376" s="4">
        <v>28313</v>
      </c>
      <c r="C376" s="5" t="s">
        <v>951</v>
      </c>
      <c r="D376" s="5" t="s">
        <v>952</v>
      </c>
      <c r="E376" s="5" t="s">
        <v>953</v>
      </c>
      <c r="F376" s="6">
        <v>43915</v>
      </c>
      <c r="G376" s="5"/>
      <c r="H376" s="5" t="s">
        <v>176</v>
      </c>
      <c r="I376" s="5" t="s">
        <v>177</v>
      </c>
      <c r="J376" s="5" t="s">
        <v>33</v>
      </c>
      <c r="K376" s="7">
        <v>235279.66500000001</v>
      </c>
      <c r="L376" s="8">
        <v>42350.38</v>
      </c>
      <c r="M376" s="9">
        <f t="shared" si="5"/>
        <v>277630.04499999998</v>
      </c>
      <c r="N376" s="5" t="s">
        <v>671</v>
      </c>
    </row>
    <row r="377" spans="1:14">
      <c r="A377" s="3" t="s">
        <v>27</v>
      </c>
      <c r="B377" s="4">
        <v>3906</v>
      </c>
      <c r="C377" s="5" t="s">
        <v>48</v>
      </c>
      <c r="D377" s="5" t="s">
        <v>954</v>
      </c>
      <c r="E377" s="5" t="s">
        <v>955</v>
      </c>
      <c r="F377" s="6">
        <v>43917</v>
      </c>
      <c r="G377" s="5"/>
      <c r="H377" s="5" t="s">
        <v>176</v>
      </c>
      <c r="I377" s="5" t="s">
        <v>177</v>
      </c>
      <c r="J377" s="5" t="s">
        <v>33</v>
      </c>
      <c r="K377" s="7">
        <v>1469978</v>
      </c>
      <c r="L377" s="8">
        <v>264596.03999999998</v>
      </c>
      <c r="M377" s="9">
        <f t="shared" si="5"/>
        <v>1734574.04</v>
      </c>
      <c r="N377" s="5" t="s">
        <v>34</v>
      </c>
    </row>
    <row r="378" spans="1:14">
      <c r="A378" s="3" t="s">
        <v>27</v>
      </c>
      <c r="B378" s="4">
        <v>28311</v>
      </c>
      <c r="C378" s="5" t="s">
        <v>956</v>
      </c>
      <c r="D378" s="5" t="s">
        <v>957</v>
      </c>
      <c r="E378" s="5" t="s">
        <v>958</v>
      </c>
      <c r="F378" s="6">
        <v>43920</v>
      </c>
      <c r="G378" s="5"/>
      <c r="H378" s="5" t="s">
        <v>176</v>
      </c>
      <c r="I378" s="5" t="s">
        <v>177</v>
      </c>
      <c r="J378" s="5" t="s">
        <v>33</v>
      </c>
      <c r="K378" s="7">
        <v>3775502.47</v>
      </c>
      <c r="L378" s="8">
        <v>679590.44</v>
      </c>
      <c r="M378" s="9">
        <f t="shared" si="5"/>
        <v>4455092.91</v>
      </c>
      <c r="N378" s="5" t="s">
        <v>34</v>
      </c>
    </row>
    <row r="379" spans="1:14">
      <c r="A379" s="3" t="s">
        <v>27</v>
      </c>
      <c r="B379" s="4">
        <v>15553</v>
      </c>
      <c r="C379" s="5" t="s">
        <v>959</v>
      </c>
      <c r="D379" s="5" t="s">
        <v>960</v>
      </c>
      <c r="E379" s="5" t="s">
        <v>961</v>
      </c>
      <c r="F379" s="6">
        <v>43920</v>
      </c>
      <c r="G379" s="5"/>
      <c r="H379" s="5" t="s">
        <v>176</v>
      </c>
      <c r="I379" s="5" t="s">
        <v>177</v>
      </c>
      <c r="J379" s="5" t="s">
        <v>33</v>
      </c>
      <c r="K379" s="7">
        <v>196075</v>
      </c>
      <c r="L379" s="8">
        <v>35293.5</v>
      </c>
      <c r="M379" s="9">
        <f t="shared" si="5"/>
        <v>231368.5</v>
      </c>
      <c r="N379" s="5" t="s">
        <v>34</v>
      </c>
    </row>
    <row r="380" spans="1:14">
      <c r="A380" s="3" t="s">
        <v>27</v>
      </c>
      <c r="B380" s="4">
        <v>28151</v>
      </c>
      <c r="C380" s="5" t="s">
        <v>962</v>
      </c>
      <c r="D380" s="5" t="s">
        <v>963</v>
      </c>
      <c r="E380" s="5" t="s">
        <v>964</v>
      </c>
      <c r="F380" s="6">
        <v>43921</v>
      </c>
      <c r="G380" s="5"/>
      <c r="H380" s="5" t="s">
        <v>923</v>
      </c>
      <c r="I380" s="5" t="s">
        <v>177</v>
      </c>
      <c r="J380" s="5" t="s">
        <v>33</v>
      </c>
      <c r="K380" s="7">
        <v>24800</v>
      </c>
      <c r="L380" s="8">
        <v>4464</v>
      </c>
      <c r="M380" s="9">
        <f t="shared" si="5"/>
        <v>29264</v>
      </c>
      <c r="N380" s="5" t="s">
        <v>47</v>
      </c>
    </row>
    <row r="381" spans="1:14">
      <c r="A381" s="3" t="s">
        <v>27</v>
      </c>
      <c r="B381" s="4">
        <v>3906</v>
      </c>
      <c r="C381" s="5" t="s">
        <v>48</v>
      </c>
      <c r="D381" s="5" t="s">
        <v>965</v>
      </c>
      <c r="E381" s="5" t="s">
        <v>966</v>
      </c>
      <c r="F381" s="6">
        <v>43930</v>
      </c>
      <c r="G381" s="5"/>
      <c r="H381" s="5" t="s">
        <v>176</v>
      </c>
      <c r="I381" s="5" t="s">
        <v>177</v>
      </c>
      <c r="J381" s="5" t="s">
        <v>33</v>
      </c>
      <c r="K381" s="7">
        <v>4750000</v>
      </c>
      <c r="L381" s="8">
        <v>855000</v>
      </c>
      <c r="M381" s="9">
        <f t="shared" si="5"/>
        <v>5605000</v>
      </c>
      <c r="N381" s="5" t="s">
        <v>34</v>
      </c>
    </row>
    <row r="382" spans="1:14">
      <c r="A382" s="3" t="s">
        <v>27</v>
      </c>
      <c r="B382" s="4">
        <v>16755</v>
      </c>
      <c r="C382" s="5" t="s">
        <v>420</v>
      </c>
      <c r="D382" s="5" t="s">
        <v>967</v>
      </c>
      <c r="E382" s="5" t="s">
        <v>968</v>
      </c>
      <c r="F382" s="6">
        <v>43937</v>
      </c>
      <c r="G382" s="5"/>
      <c r="H382" s="5" t="s">
        <v>176</v>
      </c>
      <c r="I382" s="5" t="s">
        <v>177</v>
      </c>
      <c r="J382" s="5" t="s">
        <v>33</v>
      </c>
      <c r="K382" s="7">
        <v>9661756.6600000001</v>
      </c>
      <c r="L382" s="8">
        <v>1739116.2</v>
      </c>
      <c r="M382" s="9">
        <f t="shared" si="5"/>
        <v>11400872.859999999</v>
      </c>
      <c r="N382" s="5" t="s">
        <v>34</v>
      </c>
    </row>
    <row r="383" spans="1:14">
      <c r="A383" s="3" t="s">
        <v>27</v>
      </c>
      <c r="B383" s="4">
        <v>16755</v>
      </c>
      <c r="C383" s="5" t="s">
        <v>420</v>
      </c>
      <c r="D383" s="5" t="s">
        <v>969</v>
      </c>
      <c r="E383" s="5" t="s">
        <v>970</v>
      </c>
      <c r="F383" s="6">
        <v>43937</v>
      </c>
      <c r="G383" s="5"/>
      <c r="H383" s="5" t="s">
        <v>176</v>
      </c>
      <c r="I383" s="5" t="s">
        <v>177</v>
      </c>
      <c r="J383" s="5" t="s">
        <v>33</v>
      </c>
      <c r="K383" s="7">
        <v>10385542.869999999</v>
      </c>
      <c r="L383" s="8">
        <v>1869397.74</v>
      </c>
      <c r="M383" s="9">
        <f t="shared" si="5"/>
        <v>12254940.609999999</v>
      </c>
      <c r="N383" s="5" t="s">
        <v>34</v>
      </c>
    </row>
    <row r="384" spans="1:14">
      <c r="A384" s="3" t="s">
        <v>27</v>
      </c>
      <c r="B384" s="4">
        <v>21992</v>
      </c>
      <c r="C384" s="5" t="s">
        <v>412</v>
      </c>
      <c r="D384" s="5" t="s">
        <v>971</v>
      </c>
      <c r="E384" s="5" t="s">
        <v>972</v>
      </c>
      <c r="F384" s="6">
        <v>43944</v>
      </c>
      <c r="G384" s="5"/>
      <c r="H384" s="5" t="s">
        <v>176</v>
      </c>
      <c r="I384" s="5" t="s">
        <v>177</v>
      </c>
      <c r="J384" s="5" t="s">
        <v>33</v>
      </c>
      <c r="K384" s="7">
        <v>960000</v>
      </c>
      <c r="L384" s="8">
        <v>172800</v>
      </c>
      <c r="M384" s="9">
        <f t="shared" si="5"/>
        <v>1132800</v>
      </c>
      <c r="N384" s="5" t="s">
        <v>34</v>
      </c>
    </row>
    <row r="385" spans="1:14">
      <c r="A385" s="3" t="s">
        <v>27</v>
      </c>
      <c r="B385" s="4">
        <v>28311</v>
      </c>
      <c r="C385" s="5" t="s">
        <v>956</v>
      </c>
      <c r="D385" s="5" t="s">
        <v>973</v>
      </c>
      <c r="E385" s="5" t="s">
        <v>974</v>
      </c>
      <c r="F385" s="6">
        <v>43966</v>
      </c>
      <c r="G385" s="5"/>
      <c r="H385" s="5" t="s">
        <v>176</v>
      </c>
      <c r="I385" s="5" t="s">
        <v>177</v>
      </c>
      <c r="J385" s="5" t="s">
        <v>33</v>
      </c>
      <c r="K385" s="7">
        <v>5071145.91</v>
      </c>
      <c r="L385" s="8">
        <v>912806.26</v>
      </c>
      <c r="M385" s="9">
        <f t="shared" si="5"/>
        <v>5983952.1699999999</v>
      </c>
      <c r="N385" s="5" t="s">
        <v>34</v>
      </c>
    </row>
    <row r="386" spans="1:14">
      <c r="A386" s="3" t="s">
        <v>27</v>
      </c>
      <c r="B386" s="4">
        <v>22697</v>
      </c>
      <c r="C386" s="5" t="s">
        <v>208</v>
      </c>
      <c r="D386" s="5" t="s">
        <v>975</v>
      </c>
      <c r="E386" s="5" t="s">
        <v>976</v>
      </c>
      <c r="F386" s="6">
        <v>43986</v>
      </c>
      <c r="G386" s="5"/>
      <c r="H386" s="5" t="s">
        <v>176</v>
      </c>
      <c r="I386" s="5" t="s">
        <v>177</v>
      </c>
      <c r="J386" s="5" t="s">
        <v>33</v>
      </c>
      <c r="K386" s="7">
        <v>59762363.5</v>
      </c>
      <c r="L386" s="8">
        <v>10732025.439999999</v>
      </c>
      <c r="M386" s="9">
        <f t="shared" ref="M386:M449" si="6">+K386+L386</f>
        <v>70494388.939999998</v>
      </c>
      <c r="N386" s="5" t="s">
        <v>34</v>
      </c>
    </row>
    <row r="387" spans="1:14">
      <c r="A387" s="3" t="s">
        <v>27</v>
      </c>
      <c r="B387" s="4">
        <v>27039</v>
      </c>
      <c r="C387" s="5" t="s">
        <v>977</v>
      </c>
      <c r="D387" s="5" t="s">
        <v>978</v>
      </c>
      <c r="E387" s="5" t="s">
        <v>979</v>
      </c>
      <c r="F387" s="6">
        <v>43987</v>
      </c>
      <c r="G387" s="5"/>
      <c r="H387" s="5" t="s">
        <v>411</v>
      </c>
      <c r="I387" s="5" t="s">
        <v>177</v>
      </c>
      <c r="J387" s="5" t="s">
        <v>33</v>
      </c>
      <c r="K387" s="7">
        <v>26610</v>
      </c>
      <c r="L387" s="8">
        <v>3225.6</v>
      </c>
      <c r="M387" s="9">
        <f t="shared" si="6"/>
        <v>29835.599999999999</v>
      </c>
      <c r="N387" s="5" t="s">
        <v>474</v>
      </c>
    </row>
    <row r="388" spans="1:14">
      <c r="A388" s="3" t="s">
        <v>27</v>
      </c>
      <c r="B388" s="4">
        <v>18121</v>
      </c>
      <c r="C388" s="5" t="s">
        <v>980</v>
      </c>
      <c r="D388" s="5" t="s">
        <v>981</v>
      </c>
      <c r="E388" s="5" t="s">
        <v>982</v>
      </c>
      <c r="F388" s="6">
        <v>43992</v>
      </c>
      <c r="G388" s="5"/>
      <c r="H388" s="5" t="s">
        <v>176</v>
      </c>
      <c r="I388" s="5" t="s">
        <v>177</v>
      </c>
      <c r="J388" s="5" t="s">
        <v>33</v>
      </c>
      <c r="K388" s="7">
        <v>94800</v>
      </c>
      <c r="L388" s="8">
        <v>17064</v>
      </c>
      <c r="M388" s="9">
        <f t="shared" si="6"/>
        <v>111864</v>
      </c>
      <c r="N388" s="5" t="s">
        <v>34</v>
      </c>
    </row>
    <row r="389" spans="1:14">
      <c r="A389" s="3" t="s">
        <v>27</v>
      </c>
      <c r="B389" s="4">
        <v>27862</v>
      </c>
      <c r="C389" s="5" t="s">
        <v>590</v>
      </c>
      <c r="D389" s="5" t="s">
        <v>983</v>
      </c>
      <c r="E389" s="5" t="s">
        <v>673</v>
      </c>
      <c r="F389" s="6">
        <v>43999</v>
      </c>
      <c r="G389" s="5"/>
      <c r="H389" s="5" t="s">
        <v>176</v>
      </c>
      <c r="I389" s="5" t="s">
        <v>177</v>
      </c>
      <c r="J389" s="5" t="s">
        <v>33</v>
      </c>
      <c r="K389" s="7">
        <v>240000</v>
      </c>
      <c r="L389" s="8">
        <v>43200</v>
      </c>
      <c r="M389" s="9">
        <f t="shared" si="6"/>
        <v>283200</v>
      </c>
      <c r="N389" s="5" t="s">
        <v>34</v>
      </c>
    </row>
    <row r="390" spans="1:14">
      <c r="A390" s="3" t="s">
        <v>27</v>
      </c>
      <c r="B390" s="4">
        <v>22125</v>
      </c>
      <c r="C390" s="5" t="s">
        <v>522</v>
      </c>
      <c r="D390" s="5" t="s">
        <v>984</v>
      </c>
      <c r="E390" s="5" t="s">
        <v>985</v>
      </c>
      <c r="F390" s="6">
        <v>44002</v>
      </c>
      <c r="G390" s="5"/>
      <c r="H390" s="5" t="s">
        <v>176</v>
      </c>
      <c r="I390" s="5" t="s">
        <v>177</v>
      </c>
      <c r="J390" s="5" t="s">
        <v>33</v>
      </c>
      <c r="K390" s="7">
        <v>138000</v>
      </c>
      <c r="L390" s="8">
        <v>24840</v>
      </c>
      <c r="M390" s="9">
        <f t="shared" si="6"/>
        <v>162840</v>
      </c>
      <c r="N390" s="5" t="s">
        <v>34</v>
      </c>
    </row>
    <row r="391" spans="1:14">
      <c r="A391" s="3" t="s">
        <v>27</v>
      </c>
      <c r="B391" s="4">
        <v>28311</v>
      </c>
      <c r="C391" s="5" t="s">
        <v>956</v>
      </c>
      <c r="D391" s="5" t="s">
        <v>986</v>
      </c>
      <c r="E391" s="5" t="s">
        <v>987</v>
      </c>
      <c r="F391" s="6">
        <v>44004</v>
      </c>
      <c r="G391" s="5"/>
      <c r="H391" s="5" t="s">
        <v>176</v>
      </c>
      <c r="I391" s="5" t="s">
        <v>177</v>
      </c>
      <c r="J391" s="5" t="s">
        <v>33</v>
      </c>
      <c r="K391" s="7">
        <v>7714560.7400000002</v>
      </c>
      <c r="L391" s="8">
        <v>1388620.94</v>
      </c>
      <c r="M391" s="9">
        <f t="shared" si="6"/>
        <v>9103181.6799999997</v>
      </c>
      <c r="N391" s="5" t="s">
        <v>34</v>
      </c>
    </row>
    <row r="392" spans="1:14">
      <c r="A392" s="3" t="s">
        <v>27</v>
      </c>
      <c r="B392" s="4">
        <v>3340</v>
      </c>
      <c r="C392" s="5" t="s">
        <v>431</v>
      </c>
      <c r="D392" s="5" t="s">
        <v>988</v>
      </c>
      <c r="E392" s="5" t="s">
        <v>989</v>
      </c>
      <c r="F392" s="6">
        <v>44004</v>
      </c>
      <c r="G392" s="5"/>
      <c r="H392" s="5" t="s">
        <v>176</v>
      </c>
      <c r="I392" s="5" t="s">
        <v>177</v>
      </c>
      <c r="J392" s="5" t="s">
        <v>33</v>
      </c>
      <c r="K392" s="7">
        <v>415000</v>
      </c>
      <c r="L392" s="8">
        <v>74700</v>
      </c>
      <c r="M392" s="9">
        <f t="shared" si="6"/>
        <v>489700</v>
      </c>
      <c r="N392" s="5" t="s">
        <v>34</v>
      </c>
    </row>
    <row r="393" spans="1:14">
      <c r="A393" s="3" t="s">
        <v>27</v>
      </c>
      <c r="B393" s="4">
        <v>27490</v>
      </c>
      <c r="C393" s="5" t="s">
        <v>385</v>
      </c>
      <c r="D393" s="5" t="s">
        <v>990</v>
      </c>
      <c r="E393" s="5" t="s">
        <v>991</v>
      </c>
      <c r="F393" s="6">
        <v>44005</v>
      </c>
      <c r="G393" s="5"/>
      <c r="H393" s="5" t="s">
        <v>176</v>
      </c>
      <c r="I393" s="5" t="s">
        <v>177</v>
      </c>
      <c r="J393" s="5" t="s">
        <v>33</v>
      </c>
      <c r="K393" s="7">
        <v>854510</v>
      </c>
      <c r="L393" s="8">
        <v>153811.79999999999</v>
      </c>
      <c r="M393" s="9">
        <f t="shared" si="6"/>
        <v>1008321.8</v>
      </c>
      <c r="N393" s="5" t="s">
        <v>34</v>
      </c>
    </row>
    <row r="394" spans="1:14">
      <c r="A394" s="3" t="s">
        <v>27</v>
      </c>
      <c r="B394" s="4">
        <v>22697</v>
      </c>
      <c r="C394" s="5" t="s">
        <v>992</v>
      </c>
      <c r="D394" s="5" t="s">
        <v>993</v>
      </c>
      <c r="E394" s="5" t="s">
        <v>976</v>
      </c>
      <c r="F394" s="6">
        <v>44005</v>
      </c>
      <c r="G394" s="5"/>
      <c r="H394" s="5" t="s">
        <v>176</v>
      </c>
      <c r="I394" s="5" t="s">
        <v>177</v>
      </c>
      <c r="J394" s="5" t="s">
        <v>33</v>
      </c>
      <c r="K394" s="7">
        <v>3864836</v>
      </c>
      <c r="L394" s="8">
        <v>695670.48</v>
      </c>
      <c r="M394" s="9">
        <f t="shared" si="6"/>
        <v>4560506.4800000004</v>
      </c>
      <c r="N394" s="5" t="s">
        <v>34</v>
      </c>
    </row>
    <row r="395" spans="1:14">
      <c r="A395" s="3" t="s">
        <v>27</v>
      </c>
      <c r="B395" s="4">
        <v>20355</v>
      </c>
      <c r="C395" s="5" t="s">
        <v>994</v>
      </c>
      <c r="D395" s="5" t="s">
        <v>995</v>
      </c>
      <c r="E395" s="5" t="s">
        <v>996</v>
      </c>
      <c r="F395" s="6">
        <v>44012</v>
      </c>
      <c r="G395" s="5"/>
      <c r="H395" s="5" t="s">
        <v>923</v>
      </c>
      <c r="I395" s="5" t="s">
        <v>177</v>
      </c>
      <c r="J395" s="5" t="s">
        <v>33</v>
      </c>
      <c r="K395" s="7">
        <v>611741</v>
      </c>
      <c r="L395" s="8">
        <v>131752.22</v>
      </c>
      <c r="M395" s="9">
        <f t="shared" si="6"/>
        <v>743493.22</v>
      </c>
      <c r="N395" s="5" t="s">
        <v>34</v>
      </c>
    </row>
    <row r="396" spans="1:14">
      <c r="A396" s="3" t="s">
        <v>27</v>
      </c>
      <c r="B396" s="4">
        <v>12677</v>
      </c>
      <c r="C396" s="5" t="s">
        <v>563</v>
      </c>
      <c r="D396" s="5" t="s">
        <v>997</v>
      </c>
      <c r="E396" s="5" t="s">
        <v>998</v>
      </c>
      <c r="F396" s="6">
        <v>44018</v>
      </c>
      <c r="G396" s="5"/>
      <c r="H396" s="5" t="s">
        <v>176</v>
      </c>
      <c r="I396" s="5" t="s">
        <v>177</v>
      </c>
      <c r="J396" s="5" t="s">
        <v>33</v>
      </c>
      <c r="K396" s="7">
        <v>3752940.9569999999</v>
      </c>
      <c r="L396" s="8">
        <v>482177.82</v>
      </c>
      <c r="M396" s="9">
        <f t="shared" si="6"/>
        <v>4235118.7769999998</v>
      </c>
      <c r="N396" s="5" t="s">
        <v>34</v>
      </c>
    </row>
    <row r="397" spans="1:14">
      <c r="A397" s="3" t="s">
        <v>27</v>
      </c>
      <c r="B397" s="4">
        <v>3665</v>
      </c>
      <c r="C397" s="5" t="s">
        <v>423</v>
      </c>
      <c r="D397" s="5" t="s">
        <v>999</v>
      </c>
      <c r="E397" s="5" t="s">
        <v>1000</v>
      </c>
      <c r="F397" s="6">
        <v>44021</v>
      </c>
      <c r="G397" s="5"/>
      <c r="H397" s="5" t="s">
        <v>176</v>
      </c>
      <c r="I397" s="5" t="s">
        <v>177</v>
      </c>
      <c r="J397" s="5" t="s">
        <v>33</v>
      </c>
      <c r="K397" s="7">
        <v>146280</v>
      </c>
      <c r="L397" s="8">
        <v>26330.400000000001</v>
      </c>
      <c r="M397" s="9">
        <f t="shared" si="6"/>
        <v>172610.4</v>
      </c>
      <c r="N397" s="5" t="s">
        <v>34</v>
      </c>
    </row>
    <row r="398" spans="1:14">
      <c r="A398" s="3" t="s">
        <v>27</v>
      </c>
      <c r="B398" s="4">
        <v>3475</v>
      </c>
      <c r="C398" s="5" t="s">
        <v>837</v>
      </c>
      <c r="D398" s="5" t="s">
        <v>1001</v>
      </c>
      <c r="E398" s="5" t="s">
        <v>1002</v>
      </c>
      <c r="F398" s="6">
        <v>44032</v>
      </c>
      <c r="G398" s="5"/>
      <c r="H398" s="5" t="s">
        <v>411</v>
      </c>
      <c r="I398" s="5" t="s">
        <v>177</v>
      </c>
      <c r="J398" s="5" t="s">
        <v>33</v>
      </c>
      <c r="K398" s="7">
        <v>81000</v>
      </c>
      <c r="L398" s="8">
        <v>14580</v>
      </c>
      <c r="M398" s="9">
        <f t="shared" si="6"/>
        <v>95580</v>
      </c>
      <c r="N398" s="5" t="s">
        <v>474</v>
      </c>
    </row>
    <row r="399" spans="1:14">
      <c r="A399" s="3" t="s">
        <v>27</v>
      </c>
      <c r="B399" s="4">
        <v>2571</v>
      </c>
      <c r="C399" s="5" t="s">
        <v>749</v>
      </c>
      <c r="D399" s="5" t="s">
        <v>1003</v>
      </c>
      <c r="E399" s="5" t="s">
        <v>751</v>
      </c>
      <c r="F399" s="6">
        <v>44047</v>
      </c>
      <c r="G399" s="5"/>
      <c r="H399" s="5" t="s">
        <v>176</v>
      </c>
      <c r="I399" s="5" t="s">
        <v>177</v>
      </c>
      <c r="J399" s="5" t="s">
        <v>33</v>
      </c>
      <c r="K399" s="7">
        <v>17000</v>
      </c>
      <c r="L399" s="8">
        <v>3060</v>
      </c>
      <c r="M399" s="9">
        <f t="shared" si="6"/>
        <v>20060</v>
      </c>
      <c r="N399" s="5" t="s">
        <v>671</v>
      </c>
    </row>
    <row r="400" spans="1:14">
      <c r="A400" s="3" t="s">
        <v>27</v>
      </c>
      <c r="B400" s="4">
        <v>3818</v>
      </c>
      <c r="C400" s="5" t="s">
        <v>653</v>
      </c>
      <c r="D400" s="5" t="s">
        <v>1004</v>
      </c>
      <c r="E400" s="5" t="s">
        <v>655</v>
      </c>
      <c r="F400" s="6">
        <v>44047</v>
      </c>
      <c r="G400" s="5"/>
      <c r="H400" s="5" t="s">
        <v>176</v>
      </c>
      <c r="I400" s="5" t="s">
        <v>177</v>
      </c>
      <c r="J400" s="5" t="s">
        <v>33</v>
      </c>
      <c r="K400" s="7">
        <v>39000</v>
      </c>
      <c r="L400" s="8">
        <v>7020</v>
      </c>
      <c r="M400" s="9">
        <f t="shared" si="6"/>
        <v>46020</v>
      </c>
      <c r="N400" s="5" t="s">
        <v>53</v>
      </c>
    </row>
    <row r="401" spans="1:14">
      <c r="A401" s="3" t="s">
        <v>27</v>
      </c>
      <c r="B401" s="4">
        <v>17402</v>
      </c>
      <c r="C401" s="5" t="s">
        <v>1005</v>
      </c>
      <c r="D401" s="5" t="s">
        <v>1006</v>
      </c>
      <c r="E401" s="5" t="s">
        <v>1007</v>
      </c>
      <c r="F401" s="6">
        <v>44050</v>
      </c>
      <c r="G401" s="5"/>
      <c r="H401" s="5" t="s">
        <v>176</v>
      </c>
      <c r="I401" s="5" t="s">
        <v>177</v>
      </c>
      <c r="J401" s="5" t="s">
        <v>33</v>
      </c>
      <c r="K401" s="7">
        <v>650000</v>
      </c>
      <c r="L401" s="8">
        <v>117000</v>
      </c>
      <c r="M401" s="9">
        <f t="shared" si="6"/>
        <v>767000</v>
      </c>
      <c r="N401" s="5" t="s">
        <v>57</v>
      </c>
    </row>
    <row r="402" spans="1:14">
      <c r="A402" s="3" t="s">
        <v>27</v>
      </c>
      <c r="B402" s="4">
        <v>24746</v>
      </c>
      <c r="C402" s="5" t="s">
        <v>158</v>
      </c>
      <c r="D402" s="5" t="s">
        <v>1008</v>
      </c>
      <c r="E402" s="5" t="s">
        <v>1009</v>
      </c>
      <c r="F402" s="6">
        <v>44067</v>
      </c>
      <c r="G402" s="5"/>
      <c r="H402" s="5" t="s">
        <v>176</v>
      </c>
      <c r="I402" s="5" t="s">
        <v>177</v>
      </c>
      <c r="J402" s="5" t="s">
        <v>33</v>
      </c>
      <c r="K402" s="7">
        <v>196560</v>
      </c>
      <c r="L402" s="8">
        <v>35380.800000000003</v>
      </c>
      <c r="M402" s="9">
        <f t="shared" si="6"/>
        <v>231940.8</v>
      </c>
      <c r="N402" s="5" t="s">
        <v>34</v>
      </c>
    </row>
    <row r="403" spans="1:14">
      <c r="A403" s="3" t="s">
        <v>27</v>
      </c>
      <c r="B403" s="4">
        <v>1885</v>
      </c>
      <c r="C403" s="5" t="s">
        <v>340</v>
      </c>
      <c r="D403" s="5" t="s">
        <v>1010</v>
      </c>
      <c r="E403" s="5" t="s">
        <v>1011</v>
      </c>
      <c r="F403" s="6">
        <v>44069</v>
      </c>
      <c r="G403" s="5"/>
      <c r="H403" s="5" t="s">
        <v>176</v>
      </c>
      <c r="I403" s="5" t="s">
        <v>177</v>
      </c>
      <c r="J403" s="5" t="s">
        <v>33</v>
      </c>
      <c r="K403" s="7">
        <v>275616</v>
      </c>
      <c r="L403" s="8">
        <v>49610.879999999997</v>
      </c>
      <c r="M403" s="9">
        <f t="shared" si="6"/>
        <v>325226.88</v>
      </c>
      <c r="N403" s="5" t="s">
        <v>34</v>
      </c>
    </row>
    <row r="404" spans="1:14">
      <c r="A404" s="3" t="s">
        <v>27</v>
      </c>
      <c r="B404" s="4">
        <v>19375</v>
      </c>
      <c r="C404" s="5" t="s">
        <v>1012</v>
      </c>
      <c r="D404" s="5" t="s">
        <v>1013</v>
      </c>
      <c r="E404" s="5" t="s">
        <v>1014</v>
      </c>
      <c r="F404" s="6">
        <v>44070</v>
      </c>
      <c r="G404" s="5"/>
      <c r="H404" s="5" t="s">
        <v>176</v>
      </c>
      <c r="I404" s="5" t="s">
        <v>177</v>
      </c>
      <c r="J404" s="5" t="s">
        <v>33</v>
      </c>
      <c r="K404" s="7">
        <v>205920</v>
      </c>
      <c r="L404" s="8">
        <v>37065.599999999999</v>
      </c>
      <c r="M404" s="9">
        <f t="shared" si="6"/>
        <v>242985.60000000001</v>
      </c>
      <c r="N404" s="5" t="s">
        <v>34</v>
      </c>
    </row>
    <row r="405" spans="1:14">
      <c r="A405" s="3" t="s">
        <v>27</v>
      </c>
      <c r="B405" s="4">
        <v>22298</v>
      </c>
      <c r="C405" s="5" t="s">
        <v>1015</v>
      </c>
      <c r="D405" s="5" t="s">
        <v>1016</v>
      </c>
      <c r="E405" s="5" t="s">
        <v>1017</v>
      </c>
      <c r="F405" s="6">
        <v>44070</v>
      </c>
      <c r="G405" s="5"/>
      <c r="H405" s="5" t="s">
        <v>923</v>
      </c>
      <c r="I405" s="5" t="s">
        <v>177</v>
      </c>
      <c r="J405" s="5" t="s">
        <v>46</v>
      </c>
      <c r="K405" s="7">
        <v>1710000</v>
      </c>
      <c r="L405" s="8">
        <v>307800</v>
      </c>
      <c r="M405" s="9">
        <f t="shared" si="6"/>
        <v>2017800</v>
      </c>
      <c r="N405" s="5" t="s">
        <v>47</v>
      </c>
    </row>
    <row r="406" spans="1:14">
      <c r="A406" s="3" t="s">
        <v>27</v>
      </c>
      <c r="B406" s="4">
        <v>22125</v>
      </c>
      <c r="C406" s="5" t="s">
        <v>522</v>
      </c>
      <c r="D406" s="5" t="s">
        <v>1018</v>
      </c>
      <c r="E406" s="5" t="s">
        <v>1019</v>
      </c>
      <c r="F406" s="6">
        <v>44072</v>
      </c>
      <c r="G406" s="5"/>
      <c r="H406" s="5" t="s">
        <v>176</v>
      </c>
      <c r="I406" s="5" t="s">
        <v>177</v>
      </c>
      <c r="J406" s="5" t="s">
        <v>33</v>
      </c>
      <c r="K406" s="7">
        <v>447300</v>
      </c>
      <c r="L406" s="8">
        <v>80514</v>
      </c>
      <c r="M406" s="9">
        <f t="shared" si="6"/>
        <v>527814</v>
      </c>
      <c r="N406" s="5" t="s">
        <v>34</v>
      </c>
    </row>
    <row r="407" spans="1:14">
      <c r="A407" s="3" t="s">
        <v>27</v>
      </c>
      <c r="B407" s="4">
        <v>17537</v>
      </c>
      <c r="C407" s="5" t="s">
        <v>441</v>
      </c>
      <c r="D407" s="5" t="s">
        <v>1020</v>
      </c>
      <c r="E407" s="5" t="s">
        <v>1021</v>
      </c>
      <c r="F407" s="6">
        <v>44072</v>
      </c>
      <c r="G407" s="5"/>
      <c r="H407" s="5" t="s">
        <v>176</v>
      </c>
      <c r="I407" s="5" t="s">
        <v>177</v>
      </c>
      <c r="J407" s="5" t="s">
        <v>33</v>
      </c>
      <c r="K407" s="7">
        <v>90000</v>
      </c>
      <c r="L407" s="8">
        <v>16200</v>
      </c>
      <c r="M407" s="9">
        <f t="shared" si="6"/>
        <v>106200</v>
      </c>
      <c r="N407" s="5" t="s">
        <v>34</v>
      </c>
    </row>
    <row r="408" spans="1:14">
      <c r="A408" s="3" t="s">
        <v>27</v>
      </c>
      <c r="B408" s="4">
        <v>13753</v>
      </c>
      <c r="C408" s="5" t="s">
        <v>1022</v>
      </c>
      <c r="D408" s="5" t="s">
        <v>1023</v>
      </c>
      <c r="E408" s="5" t="s">
        <v>1024</v>
      </c>
      <c r="F408" s="6">
        <v>44076</v>
      </c>
      <c r="G408" s="5"/>
      <c r="H408" s="5" t="s">
        <v>176</v>
      </c>
      <c r="I408" s="5" t="s">
        <v>177</v>
      </c>
      <c r="J408" s="5" t="s">
        <v>33</v>
      </c>
      <c r="K408" s="7">
        <v>2000000</v>
      </c>
      <c r="L408" s="8">
        <v>360000</v>
      </c>
      <c r="M408" s="9">
        <f t="shared" si="6"/>
        <v>2360000</v>
      </c>
      <c r="N408" s="5" t="s">
        <v>34</v>
      </c>
    </row>
    <row r="409" spans="1:14">
      <c r="A409" s="3" t="s">
        <v>27</v>
      </c>
      <c r="B409" s="4">
        <v>26248</v>
      </c>
      <c r="C409" s="5" t="s">
        <v>284</v>
      </c>
      <c r="D409" s="5" t="s">
        <v>1025</v>
      </c>
      <c r="E409" s="5" t="s">
        <v>1026</v>
      </c>
      <c r="F409" s="6">
        <v>44076</v>
      </c>
      <c r="G409" s="5"/>
      <c r="H409" s="5" t="s">
        <v>176</v>
      </c>
      <c r="I409" s="5" t="s">
        <v>177</v>
      </c>
      <c r="J409" s="5" t="s">
        <v>33</v>
      </c>
      <c r="K409" s="7">
        <v>31200</v>
      </c>
      <c r="L409" s="8">
        <v>5616</v>
      </c>
      <c r="M409" s="9">
        <f t="shared" si="6"/>
        <v>36816</v>
      </c>
      <c r="N409" s="5" t="s">
        <v>34</v>
      </c>
    </row>
    <row r="410" spans="1:14">
      <c r="A410" s="3" t="s">
        <v>27</v>
      </c>
      <c r="B410" s="4">
        <v>3344</v>
      </c>
      <c r="C410" s="5" t="s">
        <v>1027</v>
      </c>
      <c r="D410" s="5" t="s">
        <v>1028</v>
      </c>
      <c r="E410" s="5" t="s">
        <v>1029</v>
      </c>
      <c r="F410" s="6">
        <v>44081</v>
      </c>
      <c r="G410" s="5"/>
      <c r="H410" s="5" t="s">
        <v>411</v>
      </c>
      <c r="I410" s="5" t="s">
        <v>177</v>
      </c>
      <c r="J410" s="5" t="s">
        <v>33</v>
      </c>
      <c r="K410" s="7">
        <v>4000000</v>
      </c>
      <c r="L410" s="8">
        <v>614400</v>
      </c>
      <c r="M410" s="9">
        <f t="shared" si="6"/>
        <v>4614400</v>
      </c>
      <c r="N410" s="5" t="s">
        <v>34</v>
      </c>
    </row>
    <row r="411" spans="1:14">
      <c r="A411" s="3" t="s">
        <v>27</v>
      </c>
      <c r="B411" s="4">
        <v>26248</v>
      </c>
      <c r="C411" s="5" t="s">
        <v>284</v>
      </c>
      <c r="D411" s="5" t="s">
        <v>1030</v>
      </c>
      <c r="E411" s="5" t="s">
        <v>1031</v>
      </c>
      <c r="F411" s="6">
        <v>44096</v>
      </c>
      <c r="G411" s="5"/>
      <c r="H411" s="5" t="s">
        <v>176</v>
      </c>
      <c r="I411" s="5" t="s">
        <v>177</v>
      </c>
      <c r="J411" s="5" t="s">
        <v>33</v>
      </c>
      <c r="K411" s="7">
        <v>12511706.1</v>
      </c>
      <c r="L411" s="8">
        <v>2252107.14</v>
      </c>
      <c r="M411" s="9">
        <f t="shared" si="6"/>
        <v>14763813.24</v>
      </c>
      <c r="N411" s="5" t="s">
        <v>34</v>
      </c>
    </row>
    <row r="412" spans="1:14">
      <c r="A412" s="3" t="s">
        <v>27</v>
      </c>
      <c r="B412" s="4">
        <v>24746</v>
      </c>
      <c r="C412" s="5" t="s">
        <v>158</v>
      </c>
      <c r="D412" s="5" t="s">
        <v>1032</v>
      </c>
      <c r="E412" s="5" t="s">
        <v>1033</v>
      </c>
      <c r="F412" s="6">
        <v>44104</v>
      </c>
      <c r="G412" s="5"/>
      <c r="H412" s="5" t="s">
        <v>176</v>
      </c>
      <c r="I412" s="5" t="s">
        <v>177</v>
      </c>
      <c r="J412" s="5" t="s">
        <v>33</v>
      </c>
      <c r="K412" s="7">
        <v>152973.72</v>
      </c>
      <c r="L412" s="8">
        <v>27535.26</v>
      </c>
      <c r="M412" s="9">
        <f t="shared" si="6"/>
        <v>180508.98</v>
      </c>
      <c r="N412" s="5" t="s">
        <v>34</v>
      </c>
    </row>
    <row r="413" spans="1:14">
      <c r="A413" s="3" t="s">
        <v>27</v>
      </c>
      <c r="B413" s="4">
        <v>20091</v>
      </c>
      <c r="C413" s="5" t="s">
        <v>1034</v>
      </c>
      <c r="D413" s="5" t="s">
        <v>1035</v>
      </c>
      <c r="E413" s="5" t="s">
        <v>1036</v>
      </c>
      <c r="F413" s="6">
        <v>44110</v>
      </c>
      <c r="G413" s="5"/>
      <c r="H413" s="5" t="s">
        <v>730</v>
      </c>
      <c r="I413" s="5" t="s">
        <v>177</v>
      </c>
      <c r="J413" s="5" t="s">
        <v>46</v>
      </c>
      <c r="K413" s="7">
        <v>7255699.2000000002</v>
      </c>
      <c r="L413" s="8">
        <v>1433465.86</v>
      </c>
      <c r="M413" s="9">
        <f t="shared" si="6"/>
        <v>8689165.0600000005</v>
      </c>
      <c r="N413" s="5" t="s">
        <v>474</v>
      </c>
    </row>
    <row r="414" spans="1:14">
      <c r="A414" s="3" t="s">
        <v>27</v>
      </c>
      <c r="B414" s="4">
        <v>26243</v>
      </c>
      <c r="C414" s="5" t="s">
        <v>328</v>
      </c>
      <c r="D414" s="5" t="s">
        <v>1037</v>
      </c>
      <c r="E414" s="5" t="s">
        <v>1038</v>
      </c>
      <c r="F414" s="6">
        <v>44113</v>
      </c>
      <c r="G414" s="5"/>
      <c r="H414" s="5" t="s">
        <v>176</v>
      </c>
      <c r="I414" s="5" t="s">
        <v>177</v>
      </c>
      <c r="J414" s="5" t="s">
        <v>33</v>
      </c>
      <c r="K414" s="7">
        <v>271467</v>
      </c>
      <c r="L414" s="8">
        <v>48864.06</v>
      </c>
      <c r="M414" s="9">
        <f t="shared" si="6"/>
        <v>320331.06</v>
      </c>
      <c r="N414" s="5" t="s">
        <v>34</v>
      </c>
    </row>
    <row r="415" spans="1:14">
      <c r="A415" s="3" t="s">
        <v>27</v>
      </c>
      <c r="B415" s="4">
        <v>15748</v>
      </c>
      <c r="C415" s="5" t="s">
        <v>417</v>
      </c>
      <c r="D415" s="5" t="s">
        <v>1039</v>
      </c>
      <c r="E415" s="5" t="s">
        <v>1040</v>
      </c>
      <c r="F415" s="6">
        <v>44118</v>
      </c>
      <c r="G415" s="5"/>
      <c r="H415" s="5" t="s">
        <v>176</v>
      </c>
      <c r="I415" s="5" t="s">
        <v>177</v>
      </c>
      <c r="J415" s="5" t="s">
        <v>33</v>
      </c>
      <c r="K415" s="7">
        <v>7298050.6200000001</v>
      </c>
      <c r="L415" s="8">
        <v>1313649.1200000001</v>
      </c>
      <c r="M415" s="9">
        <f t="shared" si="6"/>
        <v>8611699.7400000002</v>
      </c>
      <c r="N415" s="5" t="s">
        <v>34</v>
      </c>
    </row>
    <row r="416" spans="1:14">
      <c r="A416" s="3" t="s">
        <v>27</v>
      </c>
      <c r="B416" s="4">
        <v>28311</v>
      </c>
      <c r="C416" s="5" t="s">
        <v>956</v>
      </c>
      <c r="D416" s="5" t="s">
        <v>1041</v>
      </c>
      <c r="E416" s="5" t="s">
        <v>987</v>
      </c>
      <c r="F416" s="6">
        <v>44120</v>
      </c>
      <c r="G416" s="5"/>
      <c r="H416" s="5" t="s">
        <v>176</v>
      </c>
      <c r="I416" s="5" t="s">
        <v>177</v>
      </c>
      <c r="J416" s="5" t="s">
        <v>33</v>
      </c>
      <c r="K416" s="7">
        <v>7022123.0999999996</v>
      </c>
      <c r="L416" s="8">
        <v>1263982.1599999999</v>
      </c>
      <c r="M416" s="9">
        <f t="shared" si="6"/>
        <v>8286105.2599999998</v>
      </c>
      <c r="N416" s="5" t="s">
        <v>34</v>
      </c>
    </row>
    <row r="417" spans="1:14">
      <c r="A417" s="3" t="s">
        <v>27</v>
      </c>
      <c r="B417" s="4">
        <v>27607</v>
      </c>
      <c r="C417" s="5" t="s">
        <v>426</v>
      </c>
      <c r="D417" s="5" t="s">
        <v>1042</v>
      </c>
      <c r="E417" s="5" t="s">
        <v>1043</v>
      </c>
      <c r="F417" s="6">
        <v>44124</v>
      </c>
      <c r="G417" s="5"/>
      <c r="H417" s="5" t="s">
        <v>176</v>
      </c>
      <c r="I417" s="5" t="s">
        <v>177</v>
      </c>
      <c r="J417" s="5" t="s">
        <v>33</v>
      </c>
      <c r="K417" s="7">
        <v>274278</v>
      </c>
      <c r="L417" s="8">
        <v>49370.04</v>
      </c>
      <c r="M417" s="9">
        <f t="shared" si="6"/>
        <v>323648.03999999998</v>
      </c>
      <c r="N417" s="5" t="s">
        <v>34</v>
      </c>
    </row>
    <row r="418" spans="1:14">
      <c r="A418" s="3" t="s">
        <v>27</v>
      </c>
      <c r="B418" s="4">
        <v>3845</v>
      </c>
      <c r="C418" s="5" t="s">
        <v>1044</v>
      </c>
      <c r="D418" s="5" t="s">
        <v>1045</v>
      </c>
      <c r="E418" s="5" t="s">
        <v>1046</v>
      </c>
      <c r="F418" s="6">
        <v>44124</v>
      </c>
      <c r="G418" s="5"/>
      <c r="H418" s="5" t="s">
        <v>923</v>
      </c>
      <c r="I418" s="5" t="s">
        <v>177</v>
      </c>
      <c r="J418" s="5" t="s">
        <v>33</v>
      </c>
      <c r="K418" s="7">
        <v>480595.5</v>
      </c>
      <c r="L418" s="8">
        <v>86507.199999999997</v>
      </c>
      <c r="M418" s="9">
        <f t="shared" si="6"/>
        <v>567102.69999999995</v>
      </c>
      <c r="N418" s="5" t="s">
        <v>47</v>
      </c>
    </row>
    <row r="419" spans="1:14">
      <c r="A419" s="3" t="s">
        <v>27</v>
      </c>
      <c r="B419" s="4">
        <v>28571</v>
      </c>
      <c r="C419" s="5" t="s">
        <v>1047</v>
      </c>
      <c r="D419" s="5" t="s">
        <v>1048</v>
      </c>
      <c r="E419" s="5" t="s">
        <v>1049</v>
      </c>
      <c r="F419" s="6">
        <v>44131</v>
      </c>
      <c r="G419" s="5"/>
      <c r="H419" s="5" t="s">
        <v>411</v>
      </c>
      <c r="I419" s="5" t="s">
        <v>177</v>
      </c>
      <c r="J419" s="5" t="s">
        <v>33</v>
      </c>
      <c r="K419" s="7">
        <v>156105</v>
      </c>
      <c r="L419" s="8">
        <v>134298.9</v>
      </c>
      <c r="M419" s="9">
        <f t="shared" si="6"/>
        <v>290403.90000000002</v>
      </c>
      <c r="N419" s="5" t="s">
        <v>34</v>
      </c>
    </row>
    <row r="420" spans="1:14">
      <c r="A420" s="3" t="s">
        <v>27</v>
      </c>
      <c r="B420" s="4">
        <v>26243</v>
      </c>
      <c r="C420" s="5" t="s">
        <v>328</v>
      </c>
      <c r="D420" s="5" t="s">
        <v>1050</v>
      </c>
      <c r="E420" s="5" t="s">
        <v>1051</v>
      </c>
      <c r="F420" s="6">
        <v>44131</v>
      </c>
      <c r="G420" s="5"/>
      <c r="H420" s="5" t="s">
        <v>176</v>
      </c>
      <c r="I420" s="5" t="s">
        <v>177</v>
      </c>
      <c r="J420" s="5" t="s">
        <v>33</v>
      </c>
      <c r="K420" s="7">
        <v>1004846</v>
      </c>
      <c r="L420" s="8">
        <v>180872.3</v>
      </c>
      <c r="M420" s="9">
        <f t="shared" si="6"/>
        <v>1185718.3</v>
      </c>
      <c r="N420" s="5" t="s">
        <v>34</v>
      </c>
    </row>
    <row r="421" spans="1:14">
      <c r="A421" s="3" t="s">
        <v>27</v>
      </c>
      <c r="B421" s="4">
        <v>27438</v>
      </c>
      <c r="C421" s="5" t="s">
        <v>1052</v>
      </c>
      <c r="D421" s="5" t="s">
        <v>1053</v>
      </c>
      <c r="E421" s="5" t="s">
        <v>1054</v>
      </c>
      <c r="F421" s="6">
        <v>44132</v>
      </c>
      <c r="G421" s="5"/>
      <c r="H421" s="5" t="s">
        <v>176</v>
      </c>
      <c r="I421" s="5" t="s">
        <v>177</v>
      </c>
      <c r="J421" s="5" t="s">
        <v>33</v>
      </c>
      <c r="K421" s="7">
        <v>24000</v>
      </c>
      <c r="L421" s="8">
        <v>4320</v>
      </c>
      <c r="M421" s="9">
        <f t="shared" si="6"/>
        <v>28320</v>
      </c>
      <c r="N421" s="5" t="s">
        <v>34</v>
      </c>
    </row>
    <row r="422" spans="1:14">
      <c r="A422" s="3" t="s">
        <v>27</v>
      </c>
      <c r="B422" s="4">
        <v>26248</v>
      </c>
      <c r="C422" s="5" t="s">
        <v>284</v>
      </c>
      <c r="D422" s="5" t="s">
        <v>1055</v>
      </c>
      <c r="E422" s="5" t="s">
        <v>1056</v>
      </c>
      <c r="F422" s="6">
        <v>44132</v>
      </c>
      <c r="G422" s="5"/>
      <c r="H422" s="5" t="s">
        <v>176</v>
      </c>
      <c r="I422" s="5" t="s">
        <v>177</v>
      </c>
      <c r="J422" s="5" t="s">
        <v>33</v>
      </c>
      <c r="K422" s="7">
        <v>2504000</v>
      </c>
      <c r="L422" s="8">
        <v>450720</v>
      </c>
      <c r="M422" s="9">
        <f t="shared" si="6"/>
        <v>2954720</v>
      </c>
      <c r="N422" s="5" t="s">
        <v>34</v>
      </c>
    </row>
    <row r="423" spans="1:14">
      <c r="A423" s="3" t="s">
        <v>27</v>
      </c>
      <c r="B423" s="4">
        <v>3651</v>
      </c>
      <c r="C423" s="5" t="s">
        <v>1057</v>
      </c>
      <c r="D423" s="5" t="s">
        <v>1058</v>
      </c>
      <c r="E423" s="5" t="s">
        <v>1059</v>
      </c>
      <c r="F423" s="6">
        <v>44137</v>
      </c>
      <c r="G423" s="5"/>
      <c r="H423" s="5" t="s">
        <v>923</v>
      </c>
      <c r="I423" s="5" t="s">
        <v>177</v>
      </c>
      <c r="J423" s="5" t="s">
        <v>46</v>
      </c>
      <c r="K423" s="7">
        <v>273600</v>
      </c>
      <c r="L423" s="8">
        <v>112968</v>
      </c>
      <c r="M423" s="9">
        <f t="shared" si="6"/>
        <v>386568</v>
      </c>
      <c r="N423" s="5" t="s">
        <v>47</v>
      </c>
    </row>
    <row r="424" spans="1:14">
      <c r="A424" s="3" t="s">
        <v>27</v>
      </c>
      <c r="B424" s="4">
        <v>27361</v>
      </c>
      <c r="C424" s="5" t="s">
        <v>1060</v>
      </c>
      <c r="D424" s="5" t="s">
        <v>1061</v>
      </c>
      <c r="E424" s="5" t="s">
        <v>1062</v>
      </c>
      <c r="F424" s="6">
        <v>44137</v>
      </c>
      <c r="G424" s="5"/>
      <c r="H424" s="5" t="s">
        <v>730</v>
      </c>
      <c r="I424" s="5" t="s">
        <v>177</v>
      </c>
      <c r="J424" s="5" t="s">
        <v>46</v>
      </c>
      <c r="K424" s="7">
        <v>2865504</v>
      </c>
      <c r="L424" s="8">
        <v>515790.72</v>
      </c>
      <c r="M424" s="9">
        <f t="shared" si="6"/>
        <v>3381294.7199999997</v>
      </c>
      <c r="N424" s="5" t="s">
        <v>474</v>
      </c>
    </row>
    <row r="425" spans="1:14">
      <c r="A425" s="3" t="s">
        <v>27</v>
      </c>
      <c r="B425" s="4">
        <v>3228</v>
      </c>
      <c r="C425" s="5" t="s">
        <v>1063</v>
      </c>
      <c r="D425" s="5" t="s">
        <v>1064</v>
      </c>
      <c r="E425" s="5" t="s">
        <v>1065</v>
      </c>
      <c r="F425" s="6">
        <v>44137</v>
      </c>
      <c r="G425" s="5"/>
      <c r="H425" s="5" t="s">
        <v>730</v>
      </c>
      <c r="I425" s="5" t="s">
        <v>177</v>
      </c>
      <c r="J425" s="5" t="s">
        <v>46</v>
      </c>
      <c r="K425" s="7">
        <v>4430931.12</v>
      </c>
      <c r="L425" s="8">
        <v>878010.32</v>
      </c>
      <c r="M425" s="9">
        <f t="shared" si="6"/>
        <v>5308941.4400000004</v>
      </c>
      <c r="N425" s="5" t="s">
        <v>474</v>
      </c>
    </row>
    <row r="426" spans="1:14">
      <c r="A426" s="3" t="s">
        <v>27</v>
      </c>
      <c r="B426" s="4">
        <v>17537</v>
      </c>
      <c r="C426" s="5" t="s">
        <v>441</v>
      </c>
      <c r="D426" s="5" t="s">
        <v>1066</v>
      </c>
      <c r="E426" s="5" t="s">
        <v>1067</v>
      </c>
      <c r="F426" s="6">
        <v>44142</v>
      </c>
      <c r="G426" s="5"/>
      <c r="H426" s="5" t="s">
        <v>176</v>
      </c>
      <c r="I426" s="5" t="s">
        <v>177</v>
      </c>
      <c r="J426" s="5" t="s">
        <v>33</v>
      </c>
      <c r="K426" s="7">
        <v>50000</v>
      </c>
      <c r="L426" s="8">
        <v>9000</v>
      </c>
      <c r="M426" s="9">
        <f t="shared" si="6"/>
        <v>59000</v>
      </c>
      <c r="N426" s="5" t="s">
        <v>34</v>
      </c>
    </row>
    <row r="427" spans="1:14">
      <c r="A427" s="3" t="s">
        <v>27</v>
      </c>
      <c r="B427" s="4">
        <v>20355</v>
      </c>
      <c r="C427" s="5" t="s">
        <v>994</v>
      </c>
      <c r="D427" s="5" t="s">
        <v>1068</v>
      </c>
      <c r="E427" s="5" t="s">
        <v>1069</v>
      </c>
      <c r="F427" s="6">
        <v>44144</v>
      </c>
      <c r="G427" s="5"/>
      <c r="H427" s="5" t="s">
        <v>411</v>
      </c>
      <c r="I427" s="5" t="s">
        <v>177</v>
      </c>
      <c r="J427" s="5" t="s">
        <v>33</v>
      </c>
      <c r="K427" s="7">
        <v>758465</v>
      </c>
      <c r="L427" s="8">
        <v>91015.8</v>
      </c>
      <c r="M427" s="9">
        <f t="shared" si="6"/>
        <v>849480.8</v>
      </c>
      <c r="N427" s="5" t="s">
        <v>34</v>
      </c>
    </row>
    <row r="428" spans="1:14">
      <c r="A428" s="3" t="s">
        <v>27</v>
      </c>
      <c r="B428" s="4">
        <v>26248</v>
      </c>
      <c r="C428" s="5" t="s">
        <v>284</v>
      </c>
      <c r="D428" s="5" t="s">
        <v>1070</v>
      </c>
      <c r="E428" s="5" t="s">
        <v>1071</v>
      </c>
      <c r="F428" s="6">
        <v>44151</v>
      </c>
      <c r="G428" s="5"/>
      <c r="H428" s="5" t="s">
        <v>176</v>
      </c>
      <c r="I428" s="5" t="s">
        <v>177</v>
      </c>
      <c r="J428" s="5" t="s">
        <v>33</v>
      </c>
      <c r="K428" s="7">
        <v>3119500</v>
      </c>
      <c r="L428" s="8">
        <v>561510</v>
      </c>
      <c r="M428" s="9">
        <f t="shared" si="6"/>
        <v>3681010</v>
      </c>
      <c r="N428" s="5" t="s">
        <v>34</v>
      </c>
    </row>
    <row r="429" spans="1:14">
      <c r="A429" s="3" t="s">
        <v>27</v>
      </c>
      <c r="B429" s="4">
        <v>28590</v>
      </c>
      <c r="C429" s="5" t="s">
        <v>1072</v>
      </c>
      <c r="D429" s="5" t="s">
        <v>1073</v>
      </c>
      <c r="E429" s="5" t="s">
        <v>1074</v>
      </c>
      <c r="F429" s="6">
        <v>44152</v>
      </c>
      <c r="G429" s="5"/>
      <c r="H429" s="5" t="s">
        <v>176</v>
      </c>
      <c r="I429" s="5" t="s">
        <v>177</v>
      </c>
      <c r="J429" s="5" t="s">
        <v>33</v>
      </c>
      <c r="K429" s="7">
        <v>125000</v>
      </c>
      <c r="L429" s="8">
        <v>22500</v>
      </c>
      <c r="M429" s="9">
        <f t="shared" si="6"/>
        <v>147500</v>
      </c>
      <c r="N429" s="5" t="s">
        <v>34</v>
      </c>
    </row>
    <row r="430" spans="1:14">
      <c r="A430" s="3" t="s">
        <v>27</v>
      </c>
      <c r="B430" s="4">
        <v>3386</v>
      </c>
      <c r="C430" s="5" t="s">
        <v>1075</v>
      </c>
      <c r="D430" s="5" t="s">
        <v>1076</v>
      </c>
      <c r="E430" s="5" t="s">
        <v>1077</v>
      </c>
      <c r="F430" s="6">
        <v>44154</v>
      </c>
      <c r="G430" s="5"/>
      <c r="H430" s="5" t="s">
        <v>923</v>
      </c>
      <c r="I430" s="5" t="s">
        <v>177</v>
      </c>
      <c r="J430" s="5" t="s">
        <v>33</v>
      </c>
      <c r="K430" s="7">
        <v>36175</v>
      </c>
      <c r="L430" s="8">
        <v>6511.5</v>
      </c>
      <c r="M430" s="9">
        <f t="shared" si="6"/>
        <v>42686.5</v>
      </c>
      <c r="N430" s="5" t="s">
        <v>34</v>
      </c>
    </row>
    <row r="431" spans="1:14">
      <c r="A431" s="3" t="s">
        <v>27</v>
      </c>
      <c r="B431" s="4">
        <v>26248</v>
      </c>
      <c r="C431" s="5" t="s">
        <v>284</v>
      </c>
      <c r="D431" s="5" t="s">
        <v>1078</v>
      </c>
      <c r="E431" s="5" t="s">
        <v>1079</v>
      </c>
      <c r="F431" s="6">
        <v>44154</v>
      </c>
      <c r="G431" s="5"/>
      <c r="H431" s="5" t="s">
        <v>176</v>
      </c>
      <c r="I431" s="5" t="s">
        <v>177</v>
      </c>
      <c r="J431" s="5" t="s">
        <v>33</v>
      </c>
      <c r="K431" s="7">
        <v>1366150</v>
      </c>
      <c r="L431" s="8">
        <v>245907</v>
      </c>
      <c r="M431" s="9">
        <f t="shared" si="6"/>
        <v>1612057</v>
      </c>
      <c r="N431" s="5" t="s">
        <v>34</v>
      </c>
    </row>
    <row r="432" spans="1:14">
      <c r="A432" s="3" t="s">
        <v>27</v>
      </c>
      <c r="B432" s="4">
        <v>3386</v>
      </c>
      <c r="C432" s="5" t="s">
        <v>1075</v>
      </c>
      <c r="D432" s="5" t="s">
        <v>1080</v>
      </c>
      <c r="E432" s="5" t="s">
        <v>1081</v>
      </c>
      <c r="F432" s="6">
        <v>44158</v>
      </c>
      <c r="G432" s="5"/>
      <c r="H432" s="5" t="s">
        <v>923</v>
      </c>
      <c r="I432" s="5" t="s">
        <v>177</v>
      </c>
      <c r="J432" s="5" t="s">
        <v>33</v>
      </c>
      <c r="K432" s="7">
        <v>55800</v>
      </c>
      <c r="L432" s="8">
        <v>10044</v>
      </c>
      <c r="M432" s="9">
        <f t="shared" si="6"/>
        <v>65844</v>
      </c>
      <c r="N432" s="5" t="s">
        <v>47</v>
      </c>
    </row>
    <row r="433" spans="1:14">
      <c r="A433" s="3" t="s">
        <v>27</v>
      </c>
      <c r="B433" s="4">
        <v>26248</v>
      </c>
      <c r="C433" s="5" t="s">
        <v>284</v>
      </c>
      <c r="D433" s="5" t="s">
        <v>1082</v>
      </c>
      <c r="E433" s="5" t="s">
        <v>1083</v>
      </c>
      <c r="F433" s="6">
        <v>44169</v>
      </c>
      <c r="G433" s="5"/>
      <c r="H433" s="5" t="s">
        <v>176</v>
      </c>
      <c r="I433" s="5" t="s">
        <v>177</v>
      </c>
      <c r="J433" s="5" t="s">
        <v>33</v>
      </c>
      <c r="K433" s="7">
        <v>19752</v>
      </c>
      <c r="L433" s="8">
        <v>3555.36</v>
      </c>
      <c r="M433" s="9">
        <f t="shared" si="6"/>
        <v>23307.360000000001</v>
      </c>
      <c r="N433" s="5" t="s">
        <v>34</v>
      </c>
    </row>
    <row r="434" spans="1:14">
      <c r="A434" s="3" t="s">
        <v>27</v>
      </c>
      <c r="B434" s="4">
        <v>28625</v>
      </c>
      <c r="C434" s="5" t="s">
        <v>1084</v>
      </c>
      <c r="D434" s="5" t="s">
        <v>1085</v>
      </c>
      <c r="E434" s="5" t="s">
        <v>1086</v>
      </c>
      <c r="F434" s="6">
        <v>44182</v>
      </c>
      <c r="G434" s="5"/>
      <c r="H434" s="5" t="s">
        <v>923</v>
      </c>
      <c r="I434" s="5" t="s">
        <v>177</v>
      </c>
      <c r="J434" s="5" t="s">
        <v>33</v>
      </c>
      <c r="K434" s="7">
        <v>13000</v>
      </c>
      <c r="L434" s="8">
        <v>2340</v>
      </c>
      <c r="M434" s="9">
        <f t="shared" si="6"/>
        <v>15340</v>
      </c>
      <c r="N434" s="5" t="s">
        <v>34</v>
      </c>
    </row>
    <row r="435" spans="1:14">
      <c r="A435" s="3" t="s">
        <v>27</v>
      </c>
      <c r="B435" s="4">
        <v>28631</v>
      </c>
      <c r="C435" s="5" t="s">
        <v>1087</v>
      </c>
      <c r="D435" s="5" t="s">
        <v>1088</v>
      </c>
      <c r="E435" s="5" t="s">
        <v>1086</v>
      </c>
      <c r="F435" s="6">
        <v>44182</v>
      </c>
      <c r="G435" s="5"/>
      <c r="H435" s="5" t="s">
        <v>923</v>
      </c>
      <c r="I435" s="5" t="s">
        <v>177</v>
      </c>
      <c r="J435" s="5" t="s">
        <v>33</v>
      </c>
      <c r="K435" s="7">
        <v>32800</v>
      </c>
      <c r="L435" s="8">
        <v>5904</v>
      </c>
      <c r="M435" s="9">
        <f t="shared" si="6"/>
        <v>38704</v>
      </c>
      <c r="N435" s="5" t="s">
        <v>34</v>
      </c>
    </row>
    <row r="436" spans="1:14">
      <c r="A436" s="3" t="s">
        <v>27</v>
      </c>
      <c r="B436" s="4">
        <v>28139</v>
      </c>
      <c r="C436" s="5" t="s">
        <v>820</v>
      </c>
      <c r="D436" s="5" t="s">
        <v>1089</v>
      </c>
      <c r="E436" s="5" t="s">
        <v>1090</v>
      </c>
      <c r="F436" s="6">
        <v>44186</v>
      </c>
      <c r="G436" s="5"/>
      <c r="H436" s="5" t="s">
        <v>176</v>
      </c>
      <c r="I436" s="5" t="s">
        <v>177</v>
      </c>
      <c r="J436" s="5" t="s">
        <v>33</v>
      </c>
      <c r="K436" s="7">
        <v>1635075</v>
      </c>
      <c r="L436" s="10"/>
      <c r="M436" s="9">
        <f t="shared" si="6"/>
        <v>1635075</v>
      </c>
      <c r="N436" s="5" t="s">
        <v>34</v>
      </c>
    </row>
    <row r="437" spans="1:14">
      <c r="A437" s="3" t="s">
        <v>27</v>
      </c>
      <c r="B437" s="4">
        <v>5921</v>
      </c>
      <c r="C437" s="5" t="s">
        <v>488</v>
      </c>
      <c r="D437" s="5" t="s">
        <v>1091</v>
      </c>
      <c r="E437" s="5" t="s">
        <v>1092</v>
      </c>
      <c r="F437" s="6">
        <v>44188</v>
      </c>
      <c r="G437" s="5"/>
      <c r="H437" s="5" t="s">
        <v>176</v>
      </c>
      <c r="I437" s="5" t="s">
        <v>177</v>
      </c>
      <c r="J437" s="5" t="s">
        <v>33</v>
      </c>
      <c r="K437" s="7">
        <v>162000</v>
      </c>
      <c r="L437" s="8">
        <v>29160</v>
      </c>
      <c r="M437" s="9">
        <f t="shared" si="6"/>
        <v>191160</v>
      </c>
      <c r="N437" s="5" t="s">
        <v>34</v>
      </c>
    </row>
    <row r="438" spans="1:14">
      <c r="A438" s="3" t="s">
        <v>27</v>
      </c>
      <c r="B438" s="4">
        <v>20547</v>
      </c>
      <c r="C438" s="5" t="s">
        <v>347</v>
      </c>
      <c r="D438" s="5" t="s">
        <v>1093</v>
      </c>
      <c r="E438" s="5" t="s">
        <v>1094</v>
      </c>
      <c r="F438" s="6">
        <v>44188</v>
      </c>
      <c r="G438" s="5"/>
      <c r="H438" s="5" t="s">
        <v>176</v>
      </c>
      <c r="I438" s="5" t="s">
        <v>177</v>
      </c>
      <c r="J438" s="5" t="s">
        <v>33</v>
      </c>
      <c r="K438" s="7">
        <v>720000</v>
      </c>
      <c r="L438" s="8">
        <v>129600</v>
      </c>
      <c r="M438" s="9">
        <f t="shared" si="6"/>
        <v>849600</v>
      </c>
      <c r="N438" s="5" t="s">
        <v>34</v>
      </c>
    </row>
    <row r="439" spans="1:14">
      <c r="A439" s="3" t="s">
        <v>27</v>
      </c>
      <c r="B439" s="4">
        <v>11822</v>
      </c>
      <c r="C439" s="5" t="s">
        <v>1095</v>
      </c>
      <c r="D439" s="5" t="s">
        <v>1096</v>
      </c>
      <c r="E439" s="5" t="s">
        <v>1097</v>
      </c>
      <c r="F439" s="6">
        <v>44194</v>
      </c>
      <c r="G439" s="5"/>
      <c r="H439" s="5" t="s">
        <v>923</v>
      </c>
      <c r="I439" s="5" t="s">
        <v>177</v>
      </c>
      <c r="J439" s="5" t="s">
        <v>33</v>
      </c>
      <c r="K439" s="7">
        <v>40264</v>
      </c>
      <c r="L439" s="8">
        <v>9147.32</v>
      </c>
      <c r="M439" s="9">
        <f t="shared" si="6"/>
        <v>49411.32</v>
      </c>
      <c r="N439" s="5" t="s">
        <v>47</v>
      </c>
    </row>
    <row r="440" spans="1:14">
      <c r="A440" s="3" t="s">
        <v>27</v>
      </c>
      <c r="B440" s="4">
        <v>12718</v>
      </c>
      <c r="C440" s="5" t="s">
        <v>313</v>
      </c>
      <c r="D440" s="5" t="s">
        <v>1098</v>
      </c>
      <c r="E440" s="5" t="s">
        <v>847</v>
      </c>
      <c r="F440" s="6">
        <v>44201</v>
      </c>
      <c r="G440" s="5"/>
      <c r="H440" s="5" t="s">
        <v>176</v>
      </c>
      <c r="I440" s="5" t="s">
        <v>177</v>
      </c>
      <c r="J440" s="5" t="s">
        <v>33</v>
      </c>
      <c r="K440" s="7">
        <v>123120</v>
      </c>
      <c r="L440" s="8">
        <v>22161.599999999999</v>
      </c>
      <c r="M440" s="9">
        <f t="shared" si="6"/>
        <v>145281.60000000001</v>
      </c>
      <c r="N440" s="5" t="s">
        <v>34</v>
      </c>
    </row>
    <row r="441" spans="1:14">
      <c r="A441" s="3" t="s">
        <v>27</v>
      </c>
      <c r="B441" s="4">
        <v>28653</v>
      </c>
      <c r="C441" s="5" t="s">
        <v>1099</v>
      </c>
      <c r="D441" s="5" t="s">
        <v>1100</v>
      </c>
      <c r="E441" s="5" t="s">
        <v>1101</v>
      </c>
      <c r="F441" s="6">
        <v>44201</v>
      </c>
      <c r="G441" s="5"/>
      <c r="H441" s="5" t="s">
        <v>923</v>
      </c>
      <c r="I441" s="5" t="s">
        <v>177</v>
      </c>
      <c r="J441" s="5" t="s">
        <v>33</v>
      </c>
      <c r="K441" s="7">
        <v>15800</v>
      </c>
      <c r="L441" s="8">
        <v>2844</v>
      </c>
      <c r="M441" s="9">
        <f t="shared" si="6"/>
        <v>18644</v>
      </c>
      <c r="N441" s="5" t="s">
        <v>47</v>
      </c>
    </row>
    <row r="442" spans="1:14">
      <c r="A442" s="3" t="s">
        <v>27</v>
      </c>
      <c r="B442" s="4">
        <v>28655</v>
      </c>
      <c r="C442" s="5" t="s">
        <v>1102</v>
      </c>
      <c r="D442" s="5" t="s">
        <v>1103</v>
      </c>
      <c r="E442" s="5" t="s">
        <v>1104</v>
      </c>
      <c r="F442" s="6">
        <v>44201</v>
      </c>
      <c r="G442" s="5"/>
      <c r="H442" s="5" t="s">
        <v>176</v>
      </c>
      <c r="I442" s="5" t="s">
        <v>177</v>
      </c>
      <c r="J442" s="5" t="s">
        <v>33</v>
      </c>
      <c r="K442" s="7">
        <v>59500</v>
      </c>
      <c r="L442" s="10"/>
      <c r="M442" s="9">
        <f t="shared" si="6"/>
        <v>59500</v>
      </c>
      <c r="N442" s="5" t="s">
        <v>34</v>
      </c>
    </row>
    <row r="443" spans="1:14">
      <c r="A443" s="3" t="s">
        <v>27</v>
      </c>
      <c r="B443" s="4">
        <v>1885</v>
      </c>
      <c r="C443" s="5" t="s">
        <v>340</v>
      </c>
      <c r="D443" s="5" t="s">
        <v>1105</v>
      </c>
      <c r="E443" s="5" t="s">
        <v>1106</v>
      </c>
      <c r="F443" s="6">
        <v>44202</v>
      </c>
      <c r="G443" s="5"/>
      <c r="H443" s="5" t="s">
        <v>411</v>
      </c>
      <c r="I443" s="5" t="s">
        <v>177</v>
      </c>
      <c r="J443" s="5" t="s">
        <v>33</v>
      </c>
      <c r="K443" s="7">
        <v>38264</v>
      </c>
      <c r="L443" s="8">
        <v>6887.52</v>
      </c>
      <c r="M443" s="9">
        <f t="shared" si="6"/>
        <v>45151.520000000004</v>
      </c>
      <c r="N443" s="5" t="s">
        <v>34</v>
      </c>
    </row>
    <row r="444" spans="1:14">
      <c r="A444" s="3" t="s">
        <v>27</v>
      </c>
      <c r="B444" s="4">
        <v>28655</v>
      </c>
      <c r="C444" s="5" t="s">
        <v>1102</v>
      </c>
      <c r="D444" s="5" t="s">
        <v>1107</v>
      </c>
      <c r="E444" s="5" t="s">
        <v>1108</v>
      </c>
      <c r="F444" s="6">
        <v>44202</v>
      </c>
      <c r="G444" s="5"/>
      <c r="H444" s="5" t="s">
        <v>176</v>
      </c>
      <c r="I444" s="5" t="s">
        <v>177</v>
      </c>
      <c r="J444" s="5" t="s">
        <v>33</v>
      </c>
      <c r="K444" s="7">
        <v>41500</v>
      </c>
      <c r="L444" s="10"/>
      <c r="M444" s="9">
        <f t="shared" si="6"/>
        <v>41500</v>
      </c>
      <c r="N444" s="5" t="s">
        <v>34</v>
      </c>
    </row>
    <row r="445" spans="1:14">
      <c r="A445" s="3" t="s">
        <v>27</v>
      </c>
      <c r="B445" s="4">
        <v>3425</v>
      </c>
      <c r="C445" s="5" t="s">
        <v>277</v>
      </c>
      <c r="D445" s="5" t="s">
        <v>1109</v>
      </c>
      <c r="E445" s="5" t="s">
        <v>1110</v>
      </c>
      <c r="F445" s="6">
        <v>44202</v>
      </c>
      <c r="G445" s="5"/>
      <c r="H445" s="5" t="s">
        <v>176</v>
      </c>
      <c r="I445" s="5" t="s">
        <v>177</v>
      </c>
      <c r="J445" s="5" t="s">
        <v>33</v>
      </c>
      <c r="K445" s="7">
        <v>94350</v>
      </c>
      <c r="L445" s="8">
        <v>16983</v>
      </c>
      <c r="M445" s="9">
        <f t="shared" si="6"/>
        <v>111333</v>
      </c>
      <c r="N445" s="5" t="s">
        <v>34</v>
      </c>
    </row>
    <row r="446" spans="1:14">
      <c r="A446" s="3" t="s">
        <v>27</v>
      </c>
      <c r="B446" s="4">
        <v>24746</v>
      </c>
      <c r="C446" s="5" t="s">
        <v>158</v>
      </c>
      <c r="D446" s="5" t="s">
        <v>1111</v>
      </c>
      <c r="E446" s="5" t="s">
        <v>1112</v>
      </c>
      <c r="F446" s="6">
        <v>44207</v>
      </c>
      <c r="G446" s="5"/>
      <c r="H446" s="5" t="s">
        <v>176</v>
      </c>
      <c r="I446" s="5" t="s">
        <v>177</v>
      </c>
      <c r="J446" s="5" t="s">
        <v>33</v>
      </c>
      <c r="K446" s="7">
        <v>608009.52</v>
      </c>
      <c r="L446" s="8">
        <v>109441.72</v>
      </c>
      <c r="M446" s="9">
        <f t="shared" si="6"/>
        <v>717451.24</v>
      </c>
      <c r="N446" s="5" t="s">
        <v>34</v>
      </c>
    </row>
    <row r="447" spans="1:14">
      <c r="A447" s="3" t="s">
        <v>27</v>
      </c>
      <c r="B447" s="4">
        <v>27627</v>
      </c>
      <c r="C447" s="5" t="s">
        <v>1113</v>
      </c>
      <c r="D447" s="5" t="s">
        <v>1114</v>
      </c>
      <c r="E447" s="5" t="s">
        <v>1115</v>
      </c>
      <c r="F447" s="6">
        <v>44215</v>
      </c>
      <c r="G447" s="5"/>
      <c r="H447" s="5" t="s">
        <v>923</v>
      </c>
      <c r="I447" s="5" t="s">
        <v>177</v>
      </c>
      <c r="J447" s="5" t="s">
        <v>33</v>
      </c>
      <c r="K447" s="7">
        <v>97250</v>
      </c>
      <c r="L447" s="8">
        <v>17505</v>
      </c>
      <c r="M447" s="9">
        <f t="shared" si="6"/>
        <v>114755</v>
      </c>
      <c r="N447" s="5" t="s">
        <v>47</v>
      </c>
    </row>
    <row r="448" spans="1:14">
      <c r="A448" s="3" t="s">
        <v>27</v>
      </c>
      <c r="B448" s="4">
        <v>18546</v>
      </c>
      <c r="C448" s="5" t="s">
        <v>1116</v>
      </c>
      <c r="D448" s="5" t="s">
        <v>1117</v>
      </c>
      <c r="E448" s="5" t="s">
        <v>1118</v>
      </c>
      <c r="F448" s="6">
        <v>44215</v>
      </c>
      <c r="G448" s="5"/>
      <c r="H448" s="5" t="s">
        <v>923</v>
      </c>
      <c r="I448" s="5" t="s">
        <v>177</v>
      </c>
      <c r="J448" s="5" t="s">
        <v>33</v>
      </c>
      <c r="K448" s="7">
        <v>65000</v>
      </c>
      <c r="L448" s="8">
        <v>11700</v>
      </c>
      <c r="M448" s="9">
        <f t="shared" si="6"/>
        <v>76700</v>
      </c>
      <c r="N448" s="5" t="s">
        <v>47</v>
      </c>
    </row>
    <row r="449" spans="1:14">
      <c r="A449" s="3" t="s">
        <v>27</v>
      </c>
      <c r="B449" s="4">
        <v>28688</v>
      </c>
      <c r="C449" s="5" t="s">
        <v>1119</v>
      </c>
      <c r="D449" s="5" t="s">
        <v>1120</v>
      </c>
      <c r="E449" s="5" t="s">
        <v>1121</v>
      </c>
      <c r="F449" s="6">
        <v>44217</v>
      </c>
      <c r="G449" s="5"/>
      <c r="H449" s="5" t="s">
        <v>176</v>
      </c>
      <c r="I449" s="5" t="s">
        <v>177</v>
      </c>
      <c r="J449" s="5" t="s">
        <v>33</v>
      </c>
      <c r="K449" s="7">
        <v>300000</v>
      </c>
      <c r="L449" s="8">
        <v>54000</v>
      </c>
      <c r="M449" s="9">
        <f t="shared" si="6"/>
        <v>354000</v>
      </c>
      <c r="N449" s="5" t="s">
        <v>34</v>
      </c>
    </row>
    <row r="450" spans="1:14">
      <c r="A450" s="3" t="s">
        <v>27</v>
      </c>
      <c r="B450" s="4">
        <v>27719</v>
      </c>
      <c r="C450" s="5" t="s">
        <v>585</v>
      </c>
      <c r="D450" s="5" t="s">
        <v>1122</v>
      </c>
      <c r="E450" s="5" t="s">
        <v>1123</v>
      </c>
      <c r="F450" s="6">
        <v>44219</v>
      </c>
      <c r="G450" s="5"/>
      <c r="H450" s="5" t="s">
        <v>176</v>
      </c>
      <c r="I450" s="5" t="s">
        <v>177</v>
      </c>
      <c r="J450" s="5" t="s">
        <v>33</v>
      </c>
      <c r="K450" s="7">
        <v>23404689.699999999</v>
      </c>
      <c r="L450" s="8">
        <v>4212844.16</v>
      </c>
      <c r="M450" s="9">
        <f t="shared" ref="M450:M513" si="7">+K450+L450</f>
        <v>27617533.859999999</v>
      </c>
      <c r="N450" s="5" t="s">
        <v>34</v>
      </c>
    </row>
    <row r="451" spans="1:14">
      <c r="A451" s="3" t="s">
        <v>27</v>
      </c>
      <c r="B451" s="4">
        <v>26248</v>
      </c>
      <c r="C451" s="5" t="s">
        <v>284</v>
      </c>
      <c r="D451" s="5" t="s">
        <v>1124</v>
      </c>
      <c r="E451" s="5" t="s">
        <v>1125</v>
      </c>
      <c r="F451" s="6">
        <v>44219</v>
      </c>
      <c r="G451" s="5"/>
      <c r="H451" s="5" t="s">
        <v>176</v>
      </c>
      <c r="I451" s="5" t="s">
        <v>177</v>
      </c>
      <c r="J451" s="5" t="s">
        <v>33</v>
      </c>
      <c r="K451" s="7">
        <v>21314677.02</v>
      </c>
      <c r="L451" s="8">
        <v>3836641.86</v>
      </c>
      <c r="M451" s="9">
        <f t="shared" si="7"/>
        <v>25151318.879999999</v>
      </c>
      <c r="N451" s="5" t="s">
        <v>34</v>
      </c>
    </row>
    <row r="452" spans="1:14">
      <c r="A452" s="3" t="s">
        <v>27</v>
      </c>
      <c r="B452" s="4">
        <v>26243</v>
      </c>
      <c r="C452" s="5" t="s">
        <v>328</v>
      </c>
      <c r="D452" s="5" t="s">
        <v>1126</v>
      </c>
      <c r="E452" s="5" t="s">
        <v>1127</v>
      </c>
      <c r="F452" s="6">
        <v>44224</v>
      </c>
      <c r="G452" s="5"/>
      <c r="H452" s="5" t="s">
        <v>176</v>
      </c>
      <c r="I452" s="5" t="s">
        <v>177</v>
      </c>
      <c r="J452" s="5" t="s">
        <v>33</v>
      </c>
      <c r="K452" s="7">
        <v>531981</v>
      </c>
      <c r="L452" s="8">
        <v>95756.58</v>
      </c>
      <c r="M452" s="9">
        <f t="shared" si="7"/>
        <v>627737.57999999996</v>
      </c>
      <c r="N452" s="5" t="s">
        <v>34</v>
      </c>
    </row>
    <row r="453" spans="1:14">
      <c r="A453" s="3" t="s">
        <v>27</v>
      </c>
      <c r="B453" s="4">
        <v>22520</v>
      </c>
      <c r="C453" s="5" t="s">
        <v>560</v>
      </c>
      <c r="D453" s="5" t="s">
        <v>1128</v>
      </c>
      <c r="E453" s="5" t="s">
        <v>1129</v>
      </c>
      <c r="F453" s="6">
        <v>44224</v>
      </c>
      <c r="G453" s="5"/>
      <c r="H453" s="5" t="s">
        <v>176</v>
      </c>
      <c r="I453" s="5" t="s">
        <v>177</v>
      </c>
      <c r="J453" s="5" t="s">
        <v>33</v>
      </c>
      <c r="K453" s="7">
        <v>180000</v>
      </c>
      <c r="L453" s="8">
        <v>32400</v>
      </c>
      <c r="M453" s="9">
        <f t="shared" si="7"/>
        <v>212400</v>
      </c>
      <c r="N453" s="5" t="s">
        <v>34</v>
      </c>
    </row>
    <row r="454" spans="1:14">
      <c r="A454" s="3" t="s">
        <v>27</v>
      </c>
      <c r="B454" s="4">
        <v>20683</v>
      </c>
      <c r="C454" s="5" t="s">
        <v>248</v>
      </c>
      <c r="D454" s="5" t="s">
        <v>1130</v>
      </c>
      <c r="E454" s="5" t="s">
        <v>1131</v>
      </c>
      <c r="F454" s="6">
        <v>44224</v>
      </c>
      <c r="G454" s="5"/>
      <c r="H454" s="5" t="s">
        <v>176</v>
      </c>
      <c r="I454" s="5" t="s">
        <v>177</v>
      </c>
      <c r="J454" s="5" t="s">
        <v>33</v>
      </c>
      <c r="K454" s="7">
        <v>382125</v>
      </c>
      <c r="L454" s="8">
        <v>68782.5</v>
      </c>
      <c r="M454" s="9">
        <f t="shared" si="7"/>
        <v>450907.5</v>
      </c>
      <c r="N454" s="5" t="s">
        <v>34</v>
      </c>
    </row>
    <row r="455" spans="1:14">
      <c r="A455" s="3" t="s">
        <v>27</v>
      </c>
      <c r="B455" s="4">
        <v>25150</v>
      </c>
      <c r="C455" s="5" t="s">
        <v>1132</v>
      </c>
      <c r="D455" s="5" t="s">
        <v>1133</v>
      </c>
      <c r="E455" s="5" t="s">
        <v>1134</v>
      </c>
      <c r="F455" s="6">
        <v>44224</v>
      </c>
      <c r="G455" s="5"/>
      <c r="H455" s="5" t="s">
        <v>176</v>
      </c>
      <c r="I455" s="5" t="s">
        <v>177</v>
      </c>
      <c r="J455" s="5" t="s">
        <v>33</v>
      </c>
      <c r="K455" s="7">
        <v>32000</v>
      </c>
      <c r="L455" s="8">
        <v>5760</v>
      </c>
      <c r="M455" s="9">
        <f t="shared" si="7"/>
        <v>37760</v>
      </c>
      <c r="N455" s="5" t="s">
        <v>220</v>
      </c>
    </row>
    <row r="456" spans="1:14">
      <c r="A456" s="3" t="s">
        <v>27</v>
      </c>
      <c r="B456" s="4">
        <v>22125</v>
      </c>
      <c r="C456" s="5" t="s">
        <v>522</v>
      </c>
      <c r="D456" s="5" t="s">
        <v>1135</v>
      </c>
      <c r="E456" s="5" t="s">
        <v>1136</v>
      </c>
      <c r="F456" s="6">
        <v>44225</v>
      </c>
      <c r="G456" s="5"/>
      <c r="H456" s="5" t="s">
        <v>176</v>
      </c>
      <c r="I456" s="5" t="s">
        <v>177</v>
      </c>
      <c r="J456" s="5" t="s">
        <v>33</v>
      </c>
      <c r="K456" s="7">
        <v>368382</v>
      </c>
      <c r="L456" s="8">
        <v>66308.759999999995</v>
      </c>
      <c r="M456" s="9">
        <f t="shared" si="7"/>
        <v>434690.76</v>
      </c>
      <c r="N456" s="5" t="s">
        <v>34</v>
      </c>
    </row>
    <row r="457" spans="1:14">
      <c r="A457" s="3" t="s">
        <v>27</v>
      </c>
      <c r="B457" s="4">
        <v>3464</v>
      </c>
      <c r="C457" s="5" t="s">
        <v>472</v>
      </c>
      <c r="D457" s="5" t="s">
        <v>1137</v>
      </c>
      <c r="E457" s="5" t="s">
        <v>1138</v>
      </c>
      <c r="F457" s="6">
        <v>44228</v>
      </c>
      <c r="G457" s="5"/>
      <c r="H457" s="5" t="s">
        <v>923</v>
      </c>
      <c r="I457" s="5" t="s">
        <v>177</v>
      </c>
      <c r="J457" s="5" t="s">
        <v>33</v>
      </c>
      <c r="K457" s="7">
        <v>99740</v>
      </c>
      <c r="L457" s="8">
        <v>17953.2</v>
      </c>
      <c r="M457" s="9">
        <f t="shared" si="7"/>
        <v>117693.2</v>
      </c>
      <c r="N457" s="5" t="s">
        <v>47</v>
      </c>
    </row>
    <row r="458" spans="1:14">
      <c r="A458" s="3" t="s">
        <v>27</v>
      </c>
      <c r="B458" s="4">
        <v>27862</v>
      </c>
      <c r="C458" s="5" t="s">
        <v>590</v>
      </c>
      <c r="D458" s="5" t="s">
        <v>1139</v>
      </c>
      <c r="E458" s="5" t="s">
        <v>1140</v>
      </c>
      <c r="F458" s="6">
        <v>44230</v>
      </c>
      <c r="G458" s="5"/>
      <c r="H458" s="5" t="s">
        <v>176</v>
      </c>
      <c r="I458" s="5" t="s">
        <v>177</v>
      </c>
      <c r="J458" s="5" t="s">
        <v>33</v>
      </c>
      <c r="K458" s="7">
        <v>240000</v>
      </c>
      <c r="L458" s="8">
        <v>43200</v>
      </c>
      <c r="M458" s="9">
        <f t="shared" si="7"/>
        <v>283200</v>
      </c>
      <c r="N458" s="5" t="s">
        <v>34</v>
      </c>
    </row>
    <row r="459" spans="1:14">
      <c r="A459" s="3" t="s">
        <v>27</v>
      </c>
      <c r="B459" s="4">
        <v>3906</v>
      </c>
      <c r="C459" s="5" t="s">
        <v>48</v>
      </c>
      <c r="D459" s="5" t="s">
        <v>1141</v>
      </c>
      <c r="E459" s="5" t="s">
        <v>1142</v>
      </c>
      <c r="F459" s="6">
        <v>44232</v>
      </c>
      <c r="G459" s="5"/>
      <c r="H459" s="5" t="s">
        <v>176</v>
      </c>
      <c r="I459" s="5" t="s">
        <v>177</v>
      </c>
      <c r="J459" s="5" t="s">
        <v>33</v>
      </c>
      <c r="K459" s="7">
        <v>3693600</v>
      </c>
      <c r="L459" s="8">
        <v>664848</v>
      </c>
      <c r="M459" s="9">
        <f t="shared" si="7"/>
        <v>4358448</v>
      </c>
      <c r="N459" s="5" t="s">
        <v>34</v>
      </c>
    </row>
    <row r="460" spans="1:14">
      <c r="A460" s="3" t="s">
        <v>27</v>
      </c>
      <c r="B460" s="4">
        <v>27719</v>
      </c>
      <c r="C460" s="5" t="s">
        <v>585</v>
      </c>
      <c r="D460" s="5" t="s">
        <v>1143</v>
      </c>
      <c r="E460" s="5" t="s">
        <v>1144</v>
      </c>
      <c r="F460" s="6">
        <v>44233</v>
      </c>
      <c r="G460" s="5"/>
      <c r="H460" s="5" t="s">
        <v>176</v>
      </c>
      <c r="I460" s="5" t="s">
        <v>177</v>
      </c>
      <c r="J460" s="5" t="s">
        <v>33</v>
      </c>
      <c r="K460" s="7">
        <v>2810780</v>
      </c>
      <c r="L460" s="8">
        <v>505940.4</v>
      </c>
      <c r="M460" s="9">
        <f t="shared" si="7"/>
        <v>3316720.4</v>
      </c>
      <c r="N460" s="5" t="s">
        <v>34</v>
      </c>
    </row>
    <row r="461" spans="1:14">
      <c r="A461" s="3" t="s">
        <v>27</v>
      </c>
      <c r="B461" s="4">
        <v>17537</v>
      </c>
      <c r="C461" s="5" t="s">
        <v>441</v>
      </c>
      <c r="D461" s="5" t="s">
        <v>1145</v>
      </c>
      <c r="E461" s="5" t="s">
        <v>933</v>
      </c>
      <c r="F461" s="6">
        <v>44237</v>
      </c>
      <c r="G461" s="5"/>
      <c r="H461" s="5" t="s">
        <v>176</v>
      </c>
      <c r="I461" s="5" t="s">
        <v>177</v>
      </c>
      <c r="J461" s="5" t="s">
        <v>33</v>
      </c>
      <c r="K461" s="7">
        <v>92000</v>
      </c>
      <c r="L461" s="8">
        <v>16560</v>
      </c>
      <c r="M461" s="9">
        <f t="shared" si="7"/>
        <v>108560</v>
      </c>
      <c r="N461" s="5" t="s">
        <v>34</v>
      </c>
    </row>
    <row r="462" spans="1:14">
      <c r="A462" s="3" t="s">
        <v>27</v>
      </c>
      <c r="B462" s="4">
        <v>17537</v>
      </c>
      <c r="C462" s="5" t="s">
        <v>441</v>
      </c>
      <c r="D462" s="5" t="s">
        <v>1146</v>
      </c>
      <c r="E462" s="5" t="s">
        <v>1147</v>
      </c>
      <c r="F462" s="6">
        <v>44240</v>
      </c>
      <c r="G462" s="5"/>
      <c r="H462" s="5" t="s">
        <v>176</v>
      </c>
      <c r="I462" s="5" t="s">
        <v>177</v>
      </c>
      <c r="J462" s="5" t="s">
        <v>33</v>
      </c>
      <c r="K462" s="7">
        <v>148500</v>
      </c>
      <c r="L462" s="8">
        <v>26730</v>
      </c>
      <c r="M462" s="9">
        <f t="shared" si="7"/>
        <v>175230</v>
      </c>
      <c r="N462" s="5" t="s">
        <v>34</v>
      </c>
    </row>
    <row r="463" spans="1:14">
      <c r="A463" s="3" t="s">
        <v>27</v>
      </c>
      <c r="B463" s="4">
        <v>3798</v>
      </c>
      <c r="C463" s="5" t="s">
        <v>776</v>
      </c>
      <c r="D463" s="5" t="s">
        <v>1148</v>
      </c>
      <c r="E463" s="5" t="s">
        <v>1149</v>
      </c>
      <c r="F463" s="6">
        <v>44249</v>
      </c>
      <c r="G463" s="5"/>
      <c r="H463" s="5" t="s">
        <v>923</v>
      </c>
      <c r="I463" s="5" t="s">
        <v>177</v>
      </c>
      <c r="J463" s="5" t="s">
        <v>33</v>
      </c>
      <c r="K463" s="7">
        <v>49107.665000000001</v>
      </c>
      <c r="L463" s="8">
        <v>8839.42</v>
      </c>
      <c r="M463" s="9">
        <f t="shared" si="7"/>
        <v>57947.084999999999</v>
      </c>
      <c r="N463" s="5" t="s">
        <v>47</v>
      </c>
    </row>
    <row r="464" spans="1:14">
      <c r="A464" s="3" t="s">
        <v>27</v>
      </c>
      <c r="B464" s="4">
        <v>21161</v>
      </c>
      <c r="C464" s="5" t="s">
        <v>363</v>
      </c>
      <c r="D464" s="5" t="s">
        <v>1150</v>
      </c>
      <c r="E464" s="5" t="s">
        <v>1151</v>
      </c>
      <c r="F464" s="6">
        <v>44251</v>
      </c>
      <c r="G464" s="5"/>
      <c r="H464" s="5" t="s">
        <v>176</v>
      </c>
      <c r="I464" s="5" t="s">
        <v>177</v>
      </c>
      <c r="J464" s="5" t="s">
        <v>33</v>
      </c>
      <c r="K464" s="7">
        <v>729178</v>
      </c>
      <c r="L464" s="8">
        <v>131252.04</v>
      </c>
      <c r="M464" s="9">
        <f t="shared" si="7"/>
        <v>860430.04</v>
      </c>
      <c r="N464" s="5" t="s">
        <v>34</v>
      </c>
    </row>
    <row r="465" spans="1:14">
      <c r="A465" s="3" t="s">
        <v>27</v>
      </c>
      <c r="B465" s="4">
        <v>28309</v>
      </c>
      <c r="C465" s="5" t="s">
        <v>1099</v>
      </c>
      <c r="D465" s="5" t="s">
        <v>1152</v>
      </c>
      <c r="E465" s="5" t="s">
        <v>1153</v>
      </c>
      <c r="F465" s="6">
        <v>44251</v>
      </c>
      <c r="G465" s="5"/>
      <c r="H465" s="5" t="s">
        <v>923</v>
      </c>
      <c r="I465" s="5" t="s">
        <v>177</v>
      </c>
      <c r="J465" s="5" t="s">
        <v>33</v>
      </c>
      <c r="K465" s="7">
        <v>22695</v>
      </c>
      <c r="L465" s="8">
        <v>4085.1</v>
      </c>
      <c r="M465" s="9">
        <f t="shared" si="7"/>
        <v>26780.1</v>
      </c>
      <c r="N465" s="5" t="s">
        <v>47</v>
      </c>
    </row>
    <row r="466" spans="1:14">
      <c r="A466" s="3" t="s">
        <v>27</v>
      </c>
      <c r="B466" s="4">
        <v>28746</v>
      </c>
      <c r="C466" s="5" t="s">
        <v>1154</v>
      </c>
      <c r="D466" s="5" t="s">
        <v>1155</v>
      </c>
      <c r="E466" s="5" t="s">
        <v>1156</v>
      </c>
      <c r="F466" s="6">
        <v>44251</v>
      </c>
      <c r="G466" s="5"/>
      <c r="H466" s="5" t="s">
        <v>923</v>
      </c>
      <c r="I466" s="5" t="s">
        <v>177</v>
      </c>
      <c r="J466" s="5" t="s">
        <v>33</v>
      </c>
      <c r="K466" s="7">
        <v>17405</v>
      </c>
      <c r="L466" s="8">
        <v>3132.9</v>
      </c>
      <c r="M466" s="9">
        <f t="shared" si="7"/>
        <v>20537.900000000001</v>
      </c>
      <c r="N466" s="5" t="s">
        <v>47</v>
      </c>
    </row>
    <row r="467" spans="1:14">
      <c r="A467" s="3" t="s">
        <v>27</v>
      </c>
      <c r="B467" s="4">
        <v>28309</v>
      </c>
      <c r="C467" s="5" t="s">
        <v>1099</v>
      </c>
      <c r="D467" s="5" t="s">
        <v>1157</v>
      </c>
      <c r="E467" s="5" t="s">
        <v>1158</v>
      </c>
      <c r="F467" s="6">
        <v>44253</v>
      </c>
      <c r="G467" s="5"/>
      <c r="H467" s="5" t="s">
        <v>923</v>
      </c>
      <c r="I467" s="5" t="s">
        <v>177</v>
      </c>
      <c r="J467" s="5" t="s">
        <v>33</v>
      </c>
      <c r="K467" s="7">
        <v>94468</v>
      </c>
      <c r="L467" s="8">
        <v>17004.240000000002</v>
      </c>
      <c r="M467" s="9">
        <f t="shared" si="7"/>
        <v>111472.24</v>
      </c>
      <c r="N467" s="5" t="s">
        <v>34</v>
      </c>
    </row>
    <row r="468" spans="1:14">
      <c r="A468" s="3" t="s">
        <v>27</v>
      </c>
      <c r="B468" s="4">
        <v>3065</v>
      </c>
      <c r="C468" s="5" t="s">
        <v>1159</v>
      </c>
      <c r="D468" s="5" t="s">
        <v>1160</v>
      </c>
      <c r="E468" s="5" t="s">
        <v>1161</v>
      </c>
      <c r="F468" s="6">
        <v>44254</v>
      </c>
      <c r="G468" s="5"/>
      <c r="H468" s="5" t="s">
        <v>923</v>
      </c>
      <c r="I468" s="5" t="s">
        <v>177</v>
      </c>
      <c r="J468" s="5" t="s">
        <v>33</v>
      </c>
      <c r="K468" s="7">
        <v>6000</v>
      </c>
      <c r="L468" s="8">
        <v>1080</v>
      </c>
      <c r="M468" s="9">
        <f t="shared" si="7"/>
        <v>7080</v>
      </c>
      <c r="N468" s="5" t="s">
        <v>47</v>
      </c>
    </row>
    <row r="469" spans="1:14">
      <c r="A469" s="3" t="s">
        <v>27</v>
      </c>
      <c r="B469" s="4">
        <v>24639</v>
      </c>
      <c r="C469" s="5" t="s">
        <v>1162</v>
      </c>
      <c r="D469" s="5" t="s">
        <v>1163</v>
      </c>
      <c r="E469" s="5" t="s">
        <v>1164</v>
      </c>
      <c r="F469" s="6">
        <v>44254</v>
      </c>
      <c r="G469" s="5"/>
      <c r="H469" s="5" t="s">
        <v>176</v>
      </c>
      <c r="I469" s="5" t="s">
        <v>177</v>
      </c>
      <c r="J469" s="5" t="s">
        <v>33</v>
      </c>
      <c r="K469" s="7">
        <v>21500</v>
      </c>
      <c r="L469" s="8">
        <v>1075</v>
      </c>
      <c r="M469" s="9">
        <f t="shared" si="7"/>
        <v>22575</v>
      </c>
      <c r="N469" s="5" t="s">
        <v>34</v>
      </c>
    </row>
    <row r="470" spans="1:14">
      <c r="A470" s="3" t="s">
        <v>27</v>
      </c>
      <c r="B470" s="4">
        <v>24639</v>
      </c>
      <c r="C470" s="5" t="s">
        <v>1162</v>
      </c>
      <c r="D470" s="5" t="s">
        <v>1165</v>
      </c>
      <c r="E470" s="5" t="s">
        <v>1166</v>
      </c>
      <c r="F470" s="6">
        <v>44254</v>
      </c>
      <c r="G470" s="5"/>
      <c r="H470" s="5" t="s">
        <v>176</v>
      </c>
      <c r="I470" s="5" t="s">
        <v>177</v>
      </c>
      <c r="J470" s="5" t="s">
        <v>33</v>
      </c>
      <c r="K470" s="7">
        <v>17500</v>
      </c>
      <c r="L470" s="8">
        <v>875</v>
      </c>
      <c r="M470" s="9">
        <f t="shared" si="7"/>
        <v>18375</v>
      </c>
      <c r="N470" s="5" t="s">
        <v>34</v>
      </c>
    </row>
    <row r="471" spans="1:14">
      <c r="A471" s="3" t="s">
        <v>27</v>
      </c>
      <c r="B471" s="4">
        <v>26248</v>
      </c>
      <c r="C471" s="5" t="s">
        <v>284</v>
      </c>
      <c r="D471" s="5" t="s">
        <v>1167</v>
      </c>
      <c r="E471" s="5" t="s">
        <v>1168</v>
      </c>
      <c r="F471" s="6">
        <v>44256</v>
      </c>
      <c r="G471" s="5"/>
      <c r="H471" s="5" t="s">
        <v>176</v>
      </c>
      <c r="I471" s="5" t="s">
        <v>177</v>
      </c>
      <c r="J471" s="5" t="s">
        <v>33</v>
      </c>
      <c r="K471" s="7">
        <v>922500</v>
      </c>
      <c r="L471" s="8">
        <v>166050</v>
      </c>
      <c r="M471" s="9">
        <f t="shared" si="7"/>
        <v>1088550</v>
      </c>
      <c r="N471" s="5" t="s">
        <v>34</v>
      </c>
    </row>
    <row r="472" spans="1:14">
      <c r="A472" s="3" t="s">
        <v>27</v>
      </c>
      <c r="B472" s="4">
        <v>22125</v>
      </c>
      <c r="C472" s="5" t="s">
        <v>522</v>
      </c>
      <c r="D472" s="5" t="s">
        <v>1169</v>
      </c>
      <c r="E472" s="5" t="s">
        <v>1170</v>
      </c>
      <c r="F472" s="6">
        <v>44256</v>
      </c>
      <c r="G472" s="5"/>
      <c r="H472" s="5" t="s">
        <v>176</v>
      </c>
      <c r="I472" s="5" t="s">
        <v>177</v>
      </c>
      <c r="J472" s="5" t="s">
        <v>33</v>
      </c>
      <c r="K472" s="7">
        <v>231900</v>
      </c>
      <c r="L472" s="8">
        <v>41742</v>
      </c>
      <c r="M472" s="9">
        <f t="shared" si="7"/>
        <v>273642</v>
      </c>
      <c r="N472" s="5" t="s">
        <v>34</v>
      </c>
    </row>
    <row r="473" spans="1:14">
      <c r="A473" s="3" t="s">
        <v>27</v>
      </c>
      <c r="B473" s="4">
        <v>20547</v>
      </c>
      <c r="C473" s="5" t="s">
        <v>347</v>
      </c>
      <c r="D473" s="5" t="s">
        <v>1171</v>
      </c>
      <c r="E473" s="5" t="s">
        <v>1172</v>
      </c>
      <c r="F473" s="6">
        <v>44267</v>
      </c>
      <c r="G473" s="5"/>
      <c r="H473" s="5" t="s">
        <v>176</v>
      </c>
      <c r="I473" s="5" t="s">
        <v>177</v>
      </c>
      <c r="J473" s="5" t="s">
        <v>33</v>
      </c>
      <c r="K473" s="7">
        <v>232000</v>
      </c>
      <c r="L473" s="8">
        <v>41760</v>
      </c>
      <c r="M473" s="9">
        <f t="shared" si="7"/>
        <v>273760</v>
      </c>
      <c r="N473" s="5" t="s">
        <v>34</v>
      </c>
    </row>
    <row r="474" spans="1:14">
      <c r="A474" s="3" t="s">
        <v>27</v>
      </c>
      <c r="B474" s="4">
        <v>25284</v>
      </c>
      <c r="C474" s="5" t="s">
        <v>227</v>
      </c>
      <c r="D474" s="5" t="s">
        <v>1173</v>
      </c>
      <c r="E474" s="5" t="s">
        <v>1174</v>
      </c>
      <c r="F474" s="6">
        <v>44267</v>
      </c>
      <c r="G474" s="5"/>
      <c r="H474" s="5" t="s">
        <v>176</v>
      </c>
      <c r="I474" s="5" t="s">
        <v>177</v>
      </c>
      <c r="J474" s="5" t="s">
        <v>33</v>
      </c>
      <c r="K474" s="7">
        <v>115000</v>
      </c>
      <c r="L474" s="8">
        <v>20700</v>
      </c>
      <c r="M474" s="9">
        <f t="shared" si="7"/>
        <v>135700</v>
      </c>
      <c r="N474" s="5" t="s">
        <v>34</v>
      </c>
    </row>
    <row r="475" spans="1:14">
      <c r="A475" s="3" t="s">
        <v>27</v>
      </c>
      <c r="B475" s="4">
        <v>28775</v>
      </c>
      <c r="C475" s="5" t="s">
        <v>1175</v>
      </c>
      <c r="D475" s="5" t="s">
        <v>1176</v>
      </c>
      <c r="E475" s="5" t="s">
        <v>1177</v>
      </c>
      <c r="F475" s="6">
        <v>44271</v>
      </c>
      <c r="G475" s="5"/>
      <c r="H475" s="5" t="s">
        <v>176</v>
      </c>
      <c r="I475" s="5" t="s">
        <v>177</v>
      </c>
      <c r="J475" s="5" t="s">
        <v>33</v>
      </c>
      <c r="K475" s="7">
        <v>218370.33900000001</v>
      </c>
      <c r="L475" s="8">
        <v>39306.620000000003</v>
      </c>
      <c r="M475" s="9">
        <f t="shared" si="7"/>
        <v>257676.959</v>
      </c>
      <c r="N475" s="5" t="s">
        <v>671</v>
      </c>
    </row>
    <row r="476" spans="1:14">
      <c r="A476" s="3" t="s">
        <v>27</v>
      </c>
      <c r="B476" s="4">
        <v>2261</v>
      </c>
      <c r="C476" s="5" t="s">
        <v>1178</v>
      </c>
      <c r="D476" s="5" t="s">
        <v>1179</v>
      </c>
      <c r="E476" s="5" t="s">
        <v>1180</v>
      </c>
      <c r="F476" s="6">
        <v>44277</v>
      </c>
      <c r="G476" s="5"/>
      <c r="H476" s="5" t="s">
        <v>176</v>
      </c>
      <c r="I476" s="5" t="s">
        <v>177</v>
      </c>
      <c r="J476" s="5" t="s">
        <v>33</v>
      </c>
      <c r="K476" s="7">
        <v>146006.78</v>
      </c>
      <c r="L476" s="8">
        <v>26281.22</v>
      </c>
      <c r="M476" s="9">
        <f t="shared" si="7"/>
        <v>172288</v>
      </c>
      <c r="N476" s="5" t="s">
        <v>671</v>
      </c>
    </row>
    <row r="477" spans="1:14">
      <c r="A477" s="3" t="s">
        <v>27</v>
      </c>
      <c r="B477" s="4">
        <v>28619</v>
      </c>
      <c r="C477" s="5" t="s">
        <v>1181</v>
      </c>
      <c r="D477" s="5" t="s">
        <v>1182</v>
      </c>
      <c r="E477" s="5" t="s">
        <v>1183</v>
      </c>
      <c r="F477" s="6">
        <v>44278</v>
      </c>
      <c r="G477" s="5"/>
      <c r="H477" s="5" t="s">
        <v>176</v>
      </c>
      <c r="I477" s="5" t="s">
        <v>177</v>
      </c>
      <c r="J477" s="5" t="s">
        <v>33</v>
      </c>
      <c r="K477" s="7">
        <v>54000</v>
      </c>
      <c r="L477" s="8">
        <v>9720</v>
      </c>
      <c r="M477" s="9">
        <f t="shared" si="7"/>
        <v>63720</v>
      </c>
      <c r="N477" s="5" t="s">
        <v>34</v>
      </c>
    </row>
    <row r="478" spans="1:14">
      <c r="A478" s="3" t="s">
        <v>27</v>
      </c>
      <c r="B478" s="4">
        <v>26922</v>
      </c>
      <c r="C478" s="5" t="s">
        <v>834</v>
      </c>
      <c r="D478" s="5" t="s">
        <v>1184</v>
      </c>
      <c r="E478" s="5" t="s">
        <v>836</v>
      </c>
      <c r="F478" s="6">
        <v>44278</v>
      </c>
      <c r="G478" s="5"/>
      <c r="H478" s="5" t="s">
        <v>176</v>
      </c>
      <c r="I478" s="5" t="s">
        <v>177</v>
      </c>
      <c r="J478" s="5" t="s">
        <v>33</v>
      </c>
      <c r="K478" s="7">
        <v>48925</v>
      </c>
      <c r="L478" s="8">
        <v>8806.5</v>
      </c>
      <c r="M478" s="9">
        <f t="shared" si="7"/>
        <v>57731.5</v>
      </c>
      <c r="N478" s="5" t="s">
        <v>34</v>
      </c>
    </row>
    <row r="479" spans="1:14">
      <c r="A479" s="3" t="s">
        <v>27</v>
      </c>
      <c r="B479" s="4">
        <v>28792</v>
      </c>
      <c r="C479" s="5" t="s">
        <v>1185</v>
      </c>
      <c r="D479" s="5" t="s">
        <v>1186</v>
      </c>
      <c r="E479" s="5" t="s">
        <v>1187</v>
      </c>
      <c r="F479" s="6">
        <v>44279</v>
      </c>
      <c r="G479" s="5"/>
      <c r="H479" s="5" t="s">
        <v>923</v>
      </c>
      <c r="I479" s="5" t="s">
        <v>177</v>
      </c>
      <c r="J479" s="5" t="s">
        <v>33</v>
      </c>
      <c r="K479" s="7">
        <v>140000</v>
      </c>
      <c r="L479" s="8">
        <v>25200</v>
      </c>
      <c r="M479" s="9">
        <f t="shared" si="7"/>
        <v>165200</v>
      </c>
      <c r="N479" s="5" t="s">
        <v>47</v>
      </c>
    </row>
    <row r="480" spans="1:14">
      <c r="A480" s="3" t="s">
        <v>27</v>
      </c>
      <c r="B480" s="4">
        <v>22697</v>
      </c>
      <c r="C480" s="5" t="s">
        <v>992</v>
      </c>
      <c r="D480" s="5" t="s">
        <v>1188</v>
      </c>
      <c r="E480" s="5" t="s">
        <v>1189</v>
      </c>
      <c r="F480" s="6">
        <v>44285</v>
      </c>
      <c r="G480" s="5"/>
      <c r="H480" s="5" t="s">
        <v>176</v>
      </c>
      <c r="I480" s="5" t="s">
        <v>177</v>
      </c>
      <c r="J480" s="5" t="s">
        <v>33</v>
      </c>
      <c r="K480" s="7">
        <v>30928830</v>
      </c>
      <c r="L480" s="8">
        <v>5567189.4000000004</v>
      </c>
      <c r="M480" s="9">
        <f t="shared" si="7"/>
        <v>36496019.399999999</v>
      </c>
      <c r="N480" s="5" t="s">
        <v>34</v>
      </c>
    </row>
    <row r="481" spans="1:14">
      <c r="A481" s="3" t="s">
        <v>27</v>
      </c>
      <c r="B481" s="4">
        <v>22697</v>
      </c>
      <c r="C481" s="5" t="s">
        <v>208</v>
      </c>
      <c r="D481" s="5" t="s">
        <v>1190</v>
      </c>
      <c r="E481" s="5" t="s">
        <v>1191</v>
      </c>
      <c r="F481" s="6">
        <v>44286</v>
      </c>
      <c r="G481" s="5"/>
      <c r="H481" s="5" t="s">
        <v>176</v>
      </c>
      <c r="I481" s="5" t="s">
        <v>177</v>
      </c>
      <c r="J481" s="5" t="s">
        <v>33</v>
      </c>
      <c r="K481" s="7">
        <v>111119975</v>
      </c>
      <c r="L481" s="8">
        <v>19958395.5</v>
      </c>
      <c r="M481" s="9">
        <f t="shared" si="7"/>
        <v>131078370.5</v>
      </c>
      <c r="N481" s="5" t="s">
        <v>34</v>
      </c>
    </row>
    <row r="482" spans="1:14">
      <c r="A482" s="3" t="s">
        <v>27</v>
      </c>
      <c r="B482" s="4">
        <v>26302</v>
      </c>
      <c r="C482" s="5" t="s">
        <v>146</v>
      </c>
      <c r="D482" s="5" t="s">
        <v>1192</v>
      </c>
      <c r="E482" s="5" t="s">
        <v>1193</v>
      </c>
      <c r="F482" s="6">
        <v>44291</v>
      </c>
      <c r="G482" s="5"/>
      <c r="H482" s="5" t="s">
        <v>176</v>
      </c>
      <c r="I482" s="5" t="s">
        <v>177</v>
      </c>
      <c r="J482" s="5" t="s">
        <v>33</v>
      </c>
      <c r="K482" s="7">
        <v>101733.25</v>
      </c>
      <c r="L482" s="8">
        <v>18311.990000000002</v>
      </c>
      <c r="M482" s="9">
        <f t="shared" si="7"/>
        <v>120045.24</v>
      </c>
      <c r="N482" s="5" t="s">
        <v>34</v>
      </c>
    </row>
    <row r="483" spans="1:14">
      <c r="A483" s="3" t="s">
        <v>27</v>
      </c>
      <c r="B483" s="4">
        <v>28806</v>
      </c>
      <c r="C483" s="5" t="s">
        <v>1194</v>
      </c>
      <c r="D483" s="5" t="s">
        <v>1195</v>
      </c>
      <c r="E483" s="5" t="s">
        <v>1196</v>
      </c>
      <c r="F483" s="6">
        <v>44291</v>
      </c>
      <c r="G483" s="5"/>
      <c r="H483" s="5" t="s">
        <v>176</v>
      </c>
      <c r="I483" s="5" t="s">
        <v>177</v>
      </c>
      <c r="J483" s="5" t="s">
        <v>33</v>
      </c>
      <c r="K483" s="7">
        <v>630144</v>
      </c>
      <c r="L483" s="8">
        <v>113425.92</v>
      </c>
      <c r="M483" s="9">
        <f t="shared" si="7"/>
        <v>743569.92000000004</v>
      </c>
      <c r="N483" s="5" t="s">
        <v>34</v>
      </c>
    </row>
    <row r="484" spans="1:14">
      <c r="A484" s="3" t="s">
        <v>27</v>
      </c>
      <c r="B484" s="4">
        <v>26248</v>
      </c>
      <c r="C484" s="5" t="s">
        <v>284</v>
      </c>
      <c r="D484" s="5" t="s">
        <v>1197</v>
      </c>
      <c r="E484" s="5" t="s">
        <v>1198</v>
      </c>
      <c r="F484" s="6">
        <v>44293</v>
      </c>
      <c r="G484" s="5"/>
      <c r="H484" s="5" t="s">
        <v>176</v>
      </c>
      <c r="I484" s="5" t="s">
        <v>177</v>
      </c>
      <c r="J484" s="5" t="s">
        <v>33</v>
      </c>
      <c r="K484" s="7">
        <v>1142166</v>
      </c>
      <c r="L484" s="8">
        <v>205589.9</v>
      </c>
      <c r="M484" s="9">
        <f t="shared" si="7"/>
        <v>1347755.9</v>
      </c>
      <c r="N484" s="5" t="s">
        <v>34</v>
      </c>
    </row>
    <row r="485" spans="1:14">
      <c r="A485" s="3" t="s">
        <v>27</v>
      </c>
      <c r="B485" s="4">
        <v>19669</v>
      </c>
      <c r="C485" s="5" t="s">
        <v>71</v>
      </c>
      <c r="D485" s="5" t="s">
        <v>1199</v>
      </c>
      <c r="E485" s="5" t="s">
        <v>937</v>
      </c>
      <c r="F485" s="6">
        <v>44293</v>
      </c>
      <c r="G485" s="5"/>
      <c r="H485" s="5" t="s">
        <v>176</v>
      </c>
      <c r="I485" s="5" t="s">
        <v>177</v>
      </c>
      <c r="J485" s="5" t="s">
        <v>33</v>
      </c>
      <c r="K485" s="7">
        <v>493680</v>
      </c>
      <c r="L485" s="8">
        <v>88862.399999999994</v>
      </c>
      <c r="M485" s="9">
        <f t="shared" si="7"/>
        <v>582542.4</v>
      </c>
      <c r="N485" s="5" t="s">
        <v>220</v>
      </c>
    </row>
    <row r="486" spans="1:14">
      <c r="A486" s="3" t="s">
        <v>27</v>
      </c>
      <c r="B486" s="4">
        <v>27862</v>
      </c>
      <c r="C486" s="5" t="s">
        <v>590</v>
      </c>
      <c r="D486" s="5" t="s">
        <v>1200</v>
      </c>
      <c r="E486" s="5" t="s">
        <v>1201</v>
      </c>
      <c r="F486" s="6">
        <v>44294</v>
      </c>
      <c r="G486" s="5"/>
      <c r="H486" s="5" t="s">
        <v>176</v>
      </c>
      <c r="I486" s="5" t="s">
        <v>177</v>
      </c>
      <c r="J486" s="5" t="s">
        <v>33</v>
      </c>
      <c r="K486" s="7">
        <v>432000</v>
      </c>
      <c r="L486" s="8">
        <v>77760</v>
      </c>
      <c r="M486" s="9">
        <f t="shared" si="7"/>
        <v>509760</v>
      </c>
      <c r="N486" s="5" t="s">
        <v>34</v>
      </c>
    </row>
    <row r="487" spans="1:14">
      <c r="A487" s="3" t="s">
        <v>27</v>
      </c>
      <c r="B487" s="4">
        <v>21992</v>
      </c>
      <c r="C487" s="5" t="s">
        <v>412</v>
      </c>
      <c r="D487" s="5" t="s">
        <v>1202</v>
      </c>
      <c r="E487" s="5" t="s">
        <v>1203</v>
      </c>
      <c r="F487" s="6">
        <v>44295</v>
      </c>
      <c r="G487" s="5"/>
      <c r="H487" s="5" t="s">
        <v>176</v>
      </c>
      <c r="I487" s="5" t="s">
        <v>177</v>
      </c>
      <c r="J487" s="5" t="s">
        <v>33</v>
      </c>
      <c r="K487" s="7">
        <v>1385906.08</v>
      </c>
      <c r="L487" s="8">
        <v>247320</v>
      </c>
      <c r="M487" s="9">
        <f t="shared" si="7"/>
        <v>1633226.08</v>
      </c>
      <c r="N487" s="5" t="s">
        <v>34</v>
      </c>
    </row>
    <row r="488" spans="1:14">
      <c r="A488" s="3" t="s">
        <v>27</v>
      </c>
      <c r="B488" s="4">
        <v>28815</v>
      </c>
      <c r="C488" s="5" t="s">
        <v>1204</v>
      </c>
      <c r="D488" s="5" t="s">
        <v>1205</v>
      </c>
      <c r="E488" s="5" t="s">
        <v>1206</v>
      </c>
      <c r="F488" s="6">
        <v>44298</v>
      </c>
      <c r="G488" s="5"/>
      <c r="H488" s="5" t="s">
        <v>923</v>
      </c>
      <c r="I488" s="5" t="s">
        <v>177</v>
      </c>
      <c r="J488" s="5" t="s">
        <v>33</v>
      </c>
      <c r="K488" s="7">
        <v>75645</v>
      </c>
      <c r="L488" s="8">
        <v>9077.4</v>
      </c>
      <c r="M488" s="9">
        <f t="shared" si="7"/>
        <v>84722.4</v>
      </c>
      <c r="N488" s="5" t="s">
        <v>34</v>
      </c>
    </row>
    <row r="489" spans="1:14">
      <c r="A489" s="3" t="s">
        <v>27</v>
      </c>
      <c r="B489" s="4">
        <v>28816</v>
      </c>
      <c r="C489" s="5" t="s">
        <v>860</v>
      </c>
      <c r="D489" s="5" t="s">
        <v>1207</v>
      </c>
      <c r="E489" s="5" t="s">
        <v>1206</v>
      </c>
      <c r="F489" s="6">
        <v>44298</v>
      </c>
      <c r="G489" s="5"/>
      <c r="H489" s="5" t="s">
        <v>923</v>
      </c>
      <c r="I489" s="5" t="s">
        <v>177</v>
      </c>
      <c r="J489" s="5" t="s">
        <v>33</v>
      </c>
      <c r="K489" s="7">
        <v>216550</v>
      </c>
      <c r="L489" s="8">
        <v>27891</v>
      </c>
      <c r="M489" s="9">
        <f t="shared" si="7"/>
        <v>244441</v>
      </c>
      <c r="N489" s="5" t="s">
        <v>34</v>
      </c>
    </row>
    <row r="490" spans="1:14">
      <c r="A490" s="3" t="s">
        <v>27</v>
      </c>
      <c r="B490" s="4">
        <v>12629</v>
      </c>
      <c r="C490" s="5" t="s">
        <v>1208</v>
      </c>
      <c r="D490" s="5" t="s">
        <v>1209</v>
      </c>
      <c r="E490" s="5" t="s">
        <v>1210</v>
      </c>
      <c r="F490" s="6">
        <v>44302</v>
      </c>
      <c r="G490" s="5"/>
      <c r="H490" s="5" t="s">
        <v>923</v>
      </c>
      <c r="I490" s="5" t="s">
        <v>177</v>
      </c>
      <c r="J490" s="5" t="s">
        <v>33</v>
      </c>
      <c r="K490" s="7">
        <v>97295</v>
      </c>
      <c r="L490" s="8">
        <v>17513.099999999999</v>
      </c>
      <c r="M490" s="9">
        <f t="shared" si="7"/>
        <v>114808.1</v>
      </c>
      <c r="N490" s="5" t="s">
        <v>47</v>
      </c>
    </row>
    <row r="491" spans="1:14">
      <c r="A491" s="3" t="s">
        <v>27</v>
      </c>
      <c r="B491" s="4">
        <v>1885</v>
      </c>
      <c r="C491" s="5" t="s">
        <v>340</v>
      </c>
      <c r="D491" s="5" t="s">
        <v>1211</v>
      </c>
      <c r="E491" s="5" t="s">
        <v>1212</v>
      </c>
      <c r="F491" s="6">
        <v>44306</v>
      </c>
      <c r="G491" s="5"/>
      <c r="H491" s="5" t="s">
        <v>923</v>
      </c>
      <c r="I491" s="5" t="s">
        <v>177</v>
      </c>
      <c r="J491" s="5" t="s">
        <v>33</v>
      </c>
      <c r="K491" s="7">
        <v>5979.82</v>
      </c>
      <c r="L491" s="8">
        <v>1076.3599999999999</v>
      </c>
      <c r="M491" s="9">
        <f t="shared" si="7"/>
        <v>7056.1799999999994</v>
      </c>
      <c r="N491" s="5" t="s">
        <v>47</v>
      </c>
    </row>
    <row r="492" spans="1:14">
      <c r="A492" s="3" t="s">
        <v>27</v>
      </c>
      <c r="B492" s="4">
        <v>3286</v>
      </c>
      <c r="C492" s="5" t="s">
        <v>640</v>
      </c>
      <c r="D492" s="5" t="s">
        <v>1213</v>
      </c>
      <c r="E492" s="5" t="s">
        <v>1214</v>
      </c>
      <c r="F492" s="6">
        <v>44308</v>
      </c>
      <c r="G492" s="5"/>
      <c r="H492" s="5" t="s">
        <v>176</v>
      </c>
      <c r="I492" s="5" t="s">
        <v>177</v>
      </c>
      <c r="J492" s="5" t="s">
        <v>33</v>
      </c>
      <c r="K492" s="7">
        <v>259875</v>
      </c>
      <c r="L492" s="8">
        <v>46777.5</v>
      </c>
      <c r="M492" s="9">
        <f t="shared" si="7"/>
        <v>306652.5</v>
      </c>
      <c r="N492" s="5" t="s">
        <v>34</v>
      </c>
    </row>
    <row r="493" spans="1:14">
      <c r="A493" s="3" t="s">
        <v>27</v>
      </c>
      <c r="B493" s="4">
        <v>22378</v>
      </c>
      <c r="C493" s="5" t="s">
        <v>1215</v>
      </c>
      <c r="D493" s="5" t="s">
        <v>1216</v>
      </c>
      <c r="E493" s="5" t="s">
        <v>1217</v>
      </c>
      <c r="F493" s="6">
        <v>44309</v>
      </c>
      <c r="G493" s="5"/>
      <c r="H493" s="5" t="s">
        <v>923</v>
      </c>
      <c r="I493" s="5" t="s">
        <v>177</v>
      </c>
      <c r="J493" s="5" t="s">
        <v>33</v>
      </c>
      <c r="K493" s="7">
        <v>3600</v>
      </c>
      <c r="L493" s="8">
        <v>180</v>
      </c>
      <c r="M493" s="9">
        <f t="shared" si="7"/>
        <v>3780</v>
      </c>
      <c r="N493" s="5" t="s">
        <v>47</v>
      </c>
    </row>
    <row r="494" spans="1:14">
      <c r="A494" s="3" t="s">
        <v>27</v>
      </c>
      <c r="B494" s="4">
        <v>17638</v>
      </c>
      <c r="C494" s="5" t="s">
        <v>1218</v>
      </c>
      <c r="D494" s="5" t="s">
        <v>1219</v>
      </c>
      <c r="E494" s="5" t="s">
        <v>1220</v>
      </c>
      <c r="F494" s="6">
        <v>44309</v>
      </c>
      <c r="G494" s="5"/>
      <c r="H494" s="5" t="s">
        <v>923</v>
      </c>
      <c r="I494" s="5" t="s">
        <v>177</v>
      </c>
      <c r="J494" s="5" t="s">
        <v>33</v>
      </c>
      <c r="K494" s="7">
        <v>628690</v>
      </c>
      <c r="L494" s="8">
        <v>75442.8</v>
      </c>
      <c r="M494" s="9">
        <f t="shared" si="7"/>
        <v>704132.8</v>
      </c>
      <c r="N494" s="5" t="s">
        <v>34</v>
      </c>
    </row>
    <row r="495" spans="1:14">
      <c r="A495" s="3" t="s">
        <v>27</v>
      </c>
      <c r="B495" s="4">
        <v>26531</v>
      </c>
      <c r="C495" s="5" t="s">
        <v>1221</v>
      </c>
      <c r="D495" s="5" t="s">
        <v>1222</v>
      </c>
      <c r="E495" s="5" t="s">
        <v>1223</v>
      </c>
      <c r="F495" s="6">
        <v>44309</v>
      </c>
      <c r="G495" s="5"/>
      <c r="H495" s="5" t="s">
        <v>923</v>
      </c>
      <c r="I495" s="5" t="s">
        <v>177</v>
      </c>
      <c r="J495" s="5" t="s">
        <v>33</v>
      </c>
      <c r="K495" s="7">
        <v>137133.5</v>
      </c>
      <c r="L495" s="8">
        <v>16456.02</v>
      </c>
      <c r="M495" s="9">
        <f t="shared" si="7"/>
        <v>153589.51999999999</v>
      </c>
      <c r="N495" s="5" t="s">
        <v>34</v>
      </c>
    </row>
    <row r="496" spans="1:14">
      <c r="A496" s="3" t="s">
        <v>27</v>
      </c>
      <c r="B496" s="4">
        <v>27719</v>
      </c>
      <c r="C496" s="5" t="s">
        <v>585</v>
      </c>
      <c r="D496" s="5" t="s">
        <v>1224</v>
      </c>
      <c r="E496" s="5" t="s">
        <v>1225</v>
      </c>
      <c r="F496" s="6">
        <v>44309</v>
      </c>
      <c r="G496" s="5"/>
      <c r="H496" s="5" t="s">
        <v>176</v>
      </c>
      <c r="I496" s="5" t="s">
        <v>177</v>
      </c>
      <c r="J496" s="5" t="s">
        <v>33</v>
      </c>
      <c r="K496" s="7">
        <v>1791450</v>
      </c>
      <c r="L496" s="8">
        <v>322461</v>
      </c>
      <c r="M496" s="9">
        <f t="shared" si="7"/>
        <v>2113911</v>
      </c>
      <c r="N496" s="5" t="s">
        <v>34</v>
      </c>
    </row>
    <row r="497" spans="1:14">
      <c r="A497" s="3" t="s">
        <v>27</v>
      </c>
      <c r="B497" s="4">
        <v>28816</v>
      </c>
      <c r="C497" s="5" t="s">
        <v>860</v>
      </c>
      <c r="D497" s="5" t="s">
        <v>1226</v>
      </c>
      <c r="E497" s="5" t="s">
        <v>1227</v>
      </c>
      <c r="F497" s="6">
        <v>44310</v>
      </c>
      <c r="G497" s="5"/>
      <c r="H497" s="5" t="s">
        <v>176</v>
      </c>
      <c r="I497" s="5" t="s">
        <v>177</v>
      </c>
      <c r="J497" s="5" t="s">
        <v>33</v>
      </c>
      <c r="K497" s="7">
        <v>25000</v>
      </c>
      <c r="L497" s="8">
        <v>4500</v>
      </c>
      <c r="M497" s="9">
        <f t="shared" si="7"/>
        <v>29500</v>
      </c>
      <c r="N497" s="5" t="s">
        <v>34</v>
      </c>
    </row>
    <row r="498" spans="1:14">
      <c r="A498" s="3" t="s">
        <v>27</v>
      </c>
      <c r="B498" s="4">
        <v>23475</v>
      </c>
      <c r="C498" s="5" t="s">
        <v>1228</v>
      </c>
      <c r="D498" s="5" t="s">
        <v>1229</v>
      </c>
      <c r="E498" s="5" t="s">
        <v>1230</v>
      </c>
      <c r="F498" s="6">
        <v>44312</v>
      </c>
      <c r="G498" s="5"/>
      <c r="H498" s="5" t="s">
        <v>1231</v>
      </c>
      <c r="I498" s="5" t="s">
        <v>177</v>
      </c>
      <c r="J498" s="5" t="s">
        <v>33</v>
      </c>
      <c r="K498" s="7">
        <v>42450</v>
      </c>
      <c r="L498" s="8">
        <v>7641</v>
      </c>
      <c r="M498" s="9">
        <f t="shared" si="7"/>
        <v>50091</v>
      </c>
      <c r="N498" s="5" t="s">
        <v>34</v>
      </c>
    </row>
    <row r="499" spans="1:14">
      <c r="A499" s="3" t="s">
        <v>27</v>
      </c>
      <c r="B499" s="4">
        <v>26646</v>
      </c>
      <c r="C499" s="5" t="s">
        <v>1232</v>
      </c>
      <c r="D499" s="5" t="s">
        <v>1233</v>
      </c>
      <c r="E499" s="5" t="s">
        <v>1234</v>
      </c>
      <c r="F499" s="6">
        <v>44312</v>
      </c>
      <c r="G499" s="5"/>
      <c r="H499" s="5" t="s">
        <v>176</v>
      </c>
      <c r="I499" s="5" t="s">
        <v>177</v>
      </c>
      <c r="J499" s="5" t="s">
        <v>33</v>
      </c>
      <c r="K499" s="7">
        <v>42372.88</v>
      </c>
      <c r="L499" s="8">
        <v>7627.12</v>
      </c>
      <c r="M499" s="9">
        <f t="shared" si="7"/>
        <v>50000</v>
      </c>
      <c r="N499" s="5" t="s">
        <v>34</v>
      </c>
    </row>
    <row r="500" spans="1:14">
      <c r="A500" s="3" t="s">
        <v>27</v>
      </c>
      <c r="B500" s="4">
        <v>1485</v>
      </c>
      <c r="C500" s="5" t="s">
        <v>525</v>
      </c>
      <c r="D500" s="5" t="s">
        <v>1235</v>
      </c>
      <c r="E500" s="5" t="s">
        <v>1236</v>
      </c>
      <c r="F500" s="6">
        <v>44316</v>
      </c>
      <c r="G500" s="5"/>
      <c r="H500" s="5" t="s">
        <v>176</v>
      </c>
      <c r="I500" s="5" t="s">
        <v>177</v>
      </c>
      <c r="J500" s="5" t="s">
        <v>33</v>
      </c>
      <c r="K500" s="7">
        <v>266996</v>
      </c>
      <c r="L500" s="8">
        <v>48059.28</v>
      </c>
      <c r="M500" s="9">
        <f t="shared" si="7"/>
        <v>315055.28000000003</v>
      </c>
      <c r="N500" s="5" t="s">
        <v>34</v>
      </c>
    </row>
    <row r="501" spans="1:14">
      <c r="A501" s="3" t="s">
        <v>27</v>
      </c>
      <c r="B501" s="4">
        <v>3610</v>
      </c>
      <c r="C501" s="5" t="s">
        <v>1237</v>
      </c>
      <c r="D501" s="5" t="s">
        <v>1238</v>
      </c>
      <c r="E501" s="5" t="s">
        <v>1239</v>
      </c>
      <c r="F501" s="6">
        <v>44319</v>
      </c>
      <c r="G501" s="5"/>
      <c r="H501" s="5" t="s">
        <v>923</v>
      </c>
      <c r="I501" s="5" t="s">
        <v>177</v>
      </c>
      <c r="J501" s="5" t="s">
        <v>33</v>
      </c>
      <c r="K501" s="7">
        <v>57003</v>
      </c>
      <c r="L501" s="8">
        <v>10260.540000000001</v>
      </c>
      <c r="M501" s="9">
        <f t="shared" si="7"/>
        <v>67263.540000000008</v>
      </c>
      <c r="N501" s="5" t="s">
        <v>47</v>
      </c>
    </row>
    <row r="502" spans="1:14">
      <c r="A502" s="3" t="s">
        <v>27</v>
      </c>
      <c r="B502" s="4">
        <v>28653</v>
      </c>
      <c r="C502" s="5" t="s">
        <v>1099</v>
      </c>
      <c r="D502" s="5" t="s">
        <v>1240</v>
      </c>
      <c r="E502" s="5" t="s">
        <v>1241</v>
      </c>
      <c r="F502" s="6">
        <v>44326</v>
      </c>
      <c r="G502" s="5"/>
      <c r="H502" s="5" t="s">
        <v>923</v>
      </c>
      <c r="I502" s="5" t="s">
        <v>177</v>
      </c>
      <c r="J502" s="5" t="s">
        <v>33</v>
      </c>
      <c r="K502" s="7">
        <v>13815</v>
      </c>
      <c r="L502" s="8">
        <v>2486.6999999999998</v>
      </c>
      <c r="M502" s="9">
        <f t="shared" si="7"/>
        <v>16301.7</v>
      </c>
      <c r="N502" s="5" t="s">
        <v>47</v>
      </c>
    </row>
    <row r="503" spans="1:14">
      <c r="A503" s="3" t="s">
        <v>27</v>
      </c>
      <c r="B503" s="4">
        <v>3964</v>
      </c>
      <c r="C503" s="5" t="s">
        <v>1242</v>
      </c>
      <c r="D503" s="5" t="s">
        <v>1243</v>
      </c>
      <c r="E503" s="5"/>
      <c r="F503" s="6">
        <v>44326</v>
      </c>
      <c r="G503" s="5"/>
      <c r="H503" s="5" t="s">
        <v>1244</v>
      </c>
      <c r="I503" s="5" t="s">
        <v>1245</v>
      </c>
      <c r="J503" s="5" t="s">
        <v>33</v>
      </c>
      <c r="K503" s="7">
        <v>1365036</v>
      </c>
      <c r="L503" s="8">
        <v>245706.48</v>
      </c>
      <c r="M503" s="9">
        <f t="shared" si="7"/>
        <v>1610742.48</v>
      </c>
      <c r="N503" s="5" t="s">
        <v>53</v>
      </c>
    </row>
    <row r="504" spans="1:14">
      <c r="A504" s="3" t="s">
        <v>27</v>
      </c>
      <c r="B504" s="4">
        <v>27607</v>
      </c>
      <c r="C504" s="5" t="s">
        <v>426</v>
      </c>
      <c r="D504" s="5" t="s">
        <v>1246</v>
      </c>
      <c r="E504" s="5" t="s">
        <v>1247</v>
      </c>
      <c r="F504" s="6">
        <v>44328</v>
      </c>
      <c r="G504" s="5"/>
      <c r="H504" s="5" t="s">
        <v>176</v>
      </c>
      <c r="I504" s="5" t="s">
        <v>177</v>
      </c>
      <c r="J504" s="5" t="s">
        <v>33</v>
      </c>
      <c r="K504" s="7">
        <v>176930</v>
      </c>
      <c r="L504" s="8">
        <v>31847.4</v>
      </c>
      <c r="M504" s="9">
        <f t="shared" si="7"/>
        <v>208777.4</v>
      </c>
      <c r="N504" s="5" t="s">
        <v>34</v>
      </c>
    </row>
    <row r="505" spans="1:14">
      <c r="A505" s="3" t="s">
        <v>27</v>
      </c>
      <c r="B505" s="4">
        <v>28858</v>
      </c>
      <c r="C505" s="5" t="s">
        <v>1248</v>
      </c>
      <c r="D505" s="5" t="s">
        <v>1249</v>
      </c>
      <c r="E505" s="5" t="s">
        <v>1250</v>
      </c>
      <c r="F505" s="6">
        <v>44341</v>
      </c>
      <c r="G505" s="5"/>
      <c r="H505" s="5" t="s">
        <v>923</v>
      </c>
      <c r="I505" s="5" t="s">
        <v>177</v>
      </c>
      <c r="J505" s="5" t="s">
        <v>33</v>
      </c>
      <c r="K505" s="7">
        <v>6768</v>
      </c>
      <c r="L505" s="8">
        <v>1359.84</v>
      </c>
      <c r="M505" s="9">
        <f t="shared" si="7"/>
        <v>8127.84</v>
      </c>
      <c r="N505" s="5" t="s">
        <v>47</v>
      </c>
    </row>
    <row r="506" spans="1:14">
      <c r="A506" s="3" t="s">
        <v>27</v>
      </c>
      <c r="B506" s="4">
        <v>28861</v>
      </c>
      <c r="C506" s="5" t="s">
        <v>1251</v>
      </c>
      <c r="D506" s="5" t="s">
        <v>1252</v>
      </c>
      <c r="E506" s="5" t="s">
        <v>1253</v>
      </c>
      <c r="F506" s="6">
        <v>44341</v>
      </c>
      <c r="G506" s="5"/>
      <c r="H506" s="5" t="s">
        <v>923</v>
      </c>
      <c r="I506" s="5" t="s">
        <v>177</v>
      </c>
      <c r="J506" s="5" t="s">
        <v>33</v>
      </c>
      <c r="K506" s="7">
        <v>13322.04</v>
      </c>
      <c r="L506" s="8">
        <v>2397.9699999999998</v>
      </c>
      <c r="M506" s="9">
        <f t="shared" si="7"/>
        <v>15720.01</v>
      </c>
      <c r="N506" s="5" t="s">
        <v>47</v>
      </c>
    </row>
    <row r="507" spans="1:14">
      <c r="A507" s="3" t="s">
        <v>27</v>
      </c>
      <c r="B507" s="4">
        <v>28863</v>
      </c>
      <c r="C507" s="5" t="s">
        <v>1254</v>
      </c>
      <c r="D507" s="5" t="s">
        <v>1255</v>
      </c>
      <c r="E507" s="5" t="s">
        <v>1256</v>
      </c>
      <c r="F507" s="6">
        <v>44343</v>
      </c>
      <c r="G507" s="5"/>
      <c r="H507" s="5" t="s">
        <v>923</v>
      </c>
      <c r="I507" s="5" t="s">
        <v>177</v>
      </c>
      <c r="J507" s="5" t="s">
        <v>33</v>
      </c>
      <c r="K507" s="7">
        <v>1400000</v>
      </c>
      <c r="L507" s="8">
        <v>252000</v>
      </c>
      <c r="M507" s="9">
        <f t="shared" si="7"/>
        <v>1652000</v>
      </c>
      <c r="N507" s="5" t="s">
        <v>47</v>
      </c>
    </row>
    <row r="508" spans="1:14">
      <c r="A508" s="3" t="s">
        <v>27</v>
      </c>
      <c r="B508" s="4">
        <v>3665</v>
      </c>
      <c r="C508" s="5" t="s">
        <v>423</v>
      </c>
      <c r="D508" s="5" t="s">
        <v>1257</v>
      </c>
      <c r="E508" s="5" t="s">
        <v>1258</v>
      </c>
      <c r="F508" s="6">
        <v>44345</v>
      </c>
      <c r="G508" s="5"/>
      <c r="H508" s="5" t="s">
        <v>176</v>
      </c>
      <c r="I508" s="5" t="s">
        <v>177</v>
      </c>
      <c r="J508" s="5" t="s">
        <v>33</v>
      </c>
      <c r="K508" s="7">
        <v>370800</v>
      </c>
      <c r="L508" s="8">
        <v>66744</v>
      </c>
      <c r="M508" s="9">
        <f t="shared" si="7"/>
        <v>437544</v>
      </c>
      <c r="N508" s="5" t="s">
        <v>34</v>
      </c>
    </row>
    <row r="509" spans="1:14">
      <c r="A509" s="3" t="s">
        <v>27</v>
      </c>
      <c r="B509" s="4">
        <v>28653</v>
      </c>
      <c r="C509" s="5" t="s">
        <v>1099</v>
      </c>
      <c r="D509" s="5" t="s">
        <v>1259</v>
      </c>
      <c r="E509" s="5" t="s">
        <v>1260</v>
      </c>
      <c r="F509" s="6">
        <v>44350</v>
      </c>
      <c r="G509" s="5"/>
      <c r="H509" s="5" t="s">
        <v>923</v>
      </c>
      <c r="I509" s="5" t="s">
        <v>177</v>
      </c>
      <c r="J509" s="5" t="s">
        <v>33</v>
      </c>
      <c r="K509" s="7">
        <v>18500</v>
      </c>
      <c r="L509" s="8">
        <v>3330</v>
      </c>
      <c r="M509" s="9">
        <f t="shared" si="7"/>
        <v>21830</v>
      </c>
      <c r="N509" s="5" t="s">
        <v>47</v>
      </c>
    </row>
    <row r="510" spans="1:14">
      <c r="A510" s="3" t="s">
        <v>27</v>
      </c>
      <c r="B510" s="4">
        <v>26671</v>
      </c>
      <c r="C510" s="5" t="s">
        <v>1261</v>
      </c>
      <c r="D510" s="5" t="s">
        <v>1262</v>
      </c>
      <c r="E510" s="5" t="s">
        <v>1263</v>
      </c>
      <c r="F510" s="6">
        <v>44350</v>
      </c>
      <c r="G510" s="5"/>
      <c r="H510" s="5" t="s">
        <v>1231</v>
      </c>
      <c r="I510" s="5" t="s">
        <v>177</v>
      </c>
      <c r="J510" s="5" t="s">
        <v>33</v>
      </c>
      <c r="K510" s="7">
        <v>919200</v>
      </c>
      <c r="L510" s="8">
        <v>165456</v>
      </c>
      <c r="M510" s="9">
        <f t="shared" si="7"/>
        <v>1084656</v>
      </c>
      <c r="N510" s="5" t="s">
        <v>47</v>
      </c>
    </row>
    <row r="511" spans="1:14">
      <c r="A511" s="3" t="s">
        <v>27</v>
      </c>
      <c r="B511" s="4">
        <v>27627</v>
      </c>
      <c r="C511" s="5" t="s">
        <v>1113</v>
      </c>
      <c r="D511" s="5" t="s">
        <v>1264</v>
      </c>
      <c r="E511" s="5" t="s">
        <v>1265</v>
      </c>
      <c r="F511" s="6">
        <v>44362</v>
      </c>
      <c r="G511" s="5"/>
      <c r="H511" s="5" t="s">
        <v>923</v>
      </c>
      <c r="I511" s="5" t="s">
        <v>177</v>
      </c>
      <c r="J511" s="5" t="s">
        <v>33</v>
      </c>
      <c r="K511" s="7">
        <v>74090</v>
      </c>
      <c r="L511" s="8">
        <v>13336.2</v>
      </c>
      <c r="M511" s="9">
        <f t="shared" si="7"/>
        <v>87426.2</v>
      </c>
      <c r="N511" s="5" t="s">
        <v>47</v>
      </c>
    </row>
    <row r="512" spans="1:14">
      <c r="A512" s="3" t="s">
        <v>27</v>
      </c>
      <c r="B512" s="4">
        <v>28405</v>
      </c>
      <c r="C512" s="5" t="s">
        <v>1266</v>
      </c>
      <c r="D512" s="5" t="s">
        <v>1267</v>
      </c>
      <c r="E512" s="5" t="s">
        <v>1268</v>
      </c>
      <c r="F512" s="6">
        <v>44365</v>
      </c>
      <c r="G512" s="5"/>
      <c r="H512" s="5" t="s">
        <v>923</v>
      </c>
      <c r="I512" s="5" t="s">
        <v>177</v>
      </c>
      <c r="J512" s="5" t="s">
        <v>33</v>
      </c>
      <c r="K512" s="7">
        <v>142000</v>
      </c>
      <c r="L512" s="8">
        <v>25560</v>
      </c>
      <c r="M512" s="9">
        <f t="shared" si="7"/>
        <v>167560</v>
      </c>
      <c r="N512" s="5" t="s">
        <v>47</v>
      </c>
    </row>
    <row r="513" spans="1:14">
      <c r="A513" s="3" t="s">
        <v>27</v>
      </c>
      <c r="B513" s="4">
        <v>18395</v>
      </c>
      <c r="C513" s="5" t="s">
        <v>1269</v>
      </c>
      <c r="D513" s="5" t="s">
        <v>1270</v>
      </c>
      <c r="E513" s="5" t="s">
        <v>1271</v>
      </c>
      <c r="F513" s="6">
        <v>44368</v>
      </c>
      <c r="G513" s="5"/>
      <c r="H513" s="5" t="s">
        <v>176</v>
      </c>
      <c r="I513" s="5" t="s">
        <v>177</v>
      </c>
      <c r="J513" s="5" t="s">
        <v>33</v>
      </c>
      <c r="K513" s="7">
        <v>5000</v>
      </c>
      <c r="L513" s="8">
        <v>900</v>
      </c>
      <c r="M513" s="9">
        <f t="shared" si="7"/>
        <v>5900</v>
      </c>
      <c r="N513" s="5" t="s">
        <v>34</v>
      </c>
    </row>
    <row r="514" spans="1:14">
      <c r="A514" s="3" t="s">
        <v>27</v>
      </c>
      <c r="B514" s="4">
        <v>14189</v>
      </c>
      <c r="C514" s="5" t="s">
        <v>1272</v>
      </c>
      <c r="D514" s="5" t="s">
        <v>1273</v>
      </c>
      <c r="E514" s="5" t="s">
        <v>1271</v>
      </c>
      <c r="F514" s="6">
        <v>44368</v>
      </c>
      <c r="G514" s="5"/>
      <c r="H514" s="5" t="s">
        <v>176</v>
      </c>
      <c r="I514" s="5" t="s">
        <v>177</v>
      </c>
      <c r="J514" s="5" t="s">
        <v>33</v>
      </c>
      <c r="K514" s="7">
        <v>9006</v>
      </c>
      <c r="L514" s="8">
        <v>1621.08</v>
      </c>
      <c r="M514" s="9">
        <f t="shared" ref="M514:M577" si="8">+K514+L514</f>
        <v>10627.08</v>
      </c>
      <c r="N514" s="5" t="s">
        <v>34</v>
      </c>
    </row>
    <row r="515" spans="1:14">
      <c r="A515" s="3" t="s">
        <v>27</v>
      </c>
      <c r="B515" s="4">
        <v>27389</v>
      </c>
      <c r="C515" s="5" t="s">
        <v>1274</v>
      </c>
      <c r="D515" s="5" t="s">
        <v>1275</v>
      </c>
      <c r="E515" s="5" t="s">
        <v>1271</v>
      </c>
      <c r="F515" s="6">
        <v>44368</v>
      </c>
      <c r="G515" s="5"/>
      <c r="H515" s="5" t="s">
        <v>176</v>
      </c>
      <c r="I515" s="5" t="s">
        <v>177</v>
      </c>
      <c r="J515" s="5" t="s">
        <v>33</v>
      </c>
      <c r="K515" s="7">
        <v>1300</v>
      </c>
      <c r="L515" s="8">
        <v>234</v>
      </c>
      <c r="M515" s="9">
        <f t="shared" si="8"/>
        <v>1534</v>
      </c>
      <c r="N515" s="5" t="s">
        <v>34</v>
      </c>
    </row>
    <row r="516" spans="1:14">
      <c r="A516" s="3" t="s">
        <v>27</v>
      </c>
      <c r="B516" s="4">
        <v>28897</v>
      </c>
      <c r="C516" s="5" t="s">
        <v>1276</v>
      </c>
      <c r="D516" s="5" t="s">
        <v>1277</v>
      </c>
      <c r="E516" s="5" t="s">
        <v>1278</v>
      </c>
      <c r="F516" s="6">
        <v>44370</v>
      </c>
      <c r="G516" s="5"/>
      <c r="H516" s="5" t="s">
        <v>923</v>
      </c>
      <c r="I516" s="5" t="s">
        <v>177</v>
      </c>
      <c r="J516" s="5" t="s">
        <v>33</v>
      </c>
      <c r="K516" s="7">
        <v>14955</v>
      </c>
      <c r="L516" s="8">
        <v>1209.9000000000001</v>
      </c>
      <c r="M516" s="9">
        <f t="shared" si="8"/>
        <v>16164.9</v>
      </c>
      <c r="N516" s="5" t="s">
        <v>47</v>
      </c>
    </row>
    <row r="517" spans="1:14">
      <c r="A517" s="3" t="s">
        <v>27</v>
      </c>
      <c r="B517" s="4">
        <v>21995</v>
      </c>
      <c r="C517" s="5" t="s">
        <v>1279</v>
      </c>
      <c r="D517" s="5" t="s">
        <v>1280</v>
      </c>
      <c r="E517" s="5" t="s">
        <v>1281</v>
      </c>
      <c r="F517" s="6">
        <v>44370</v>
      </c>
      <c r="G517" s="5"/>
      <c r="H517" s="5" t="s">
        <v>176</v>
      </c>
      <c r="I517" s="5" t="s">
        <v>177</v>
      </c>
      <c r="J517" s="5" t="s">
        <v>33</v>
      </c>
      <c r="K517" s="7">
        <v>15000</v>
      </c>
      <c r="L517" s="8">
        <v>2700</v>
      </c>
      <c r="M517" s="9">
        <f t="shared" si="8"/>
        <v>17700</v>
      </c>
      <c r="N517" s="5" t="s">
        <v>34</v>
      </c>
    </row>
    <row r="518" spans="1:14">
      <c r="A518" s="3" t="s">
        <v>27</v>
      </c>
      <c r="B518" s="4">
        <v>24639</v>
      </c>
      <c r="C518" s="5" t="s">
        <v>1162</v>
      </c>
      <c r="D518" s="5" t="s">
        <v>1282</v>
      </c>
      <c r="E518" s="5" t="s">
        <v>1283</v>
      </c>
      <c r="F518" s="6">
        <v>44372</v>
      </c>
      <c r="G518" s="5"/>
      <c r="H518" s="5" t="s">
        <v>176</v>
      </c>
      <c r="I518" s="5" t="s">
        <v>177</v>
      </c>
      <c r="J518" s="5" t="s">
        <v>33</v>
      </c>
      <c r="K518" s="7">
        <v>42000</v>
      </c>
      <c r="L518" s="8">
        <v>2100</v>
      </c>
      <c r="M518" s="9">
        <f t="shared" si="8"/>
        <v>44100</v>
      </c>
      <c r="N518" s="5" t="s">
        <v>34</v>
      </c>
    </row>
    <row r="519" spans="1:14">
      <c r="A519" s="3" t="s">
        <v>27</v>
      </c>
      <c r="B519" s="4">
        <v>1885</v>
      </c>
      <c r="C519" s="5" t="s">
        <v>340</v>
      </c>
      <c r="D519" s="5" t="s">
        <v>1284</v>
      </c>
      <c r="E519" s="5" t="s">
        <v>1285</v>
      </c>
      <c r="F519" s="6">
        <v>44373</v>
      </c>
      <c r="G519" s="5"/>
      <c r="H519" s="5" t="s">
        <v>1231</v>
      </c>
      <c r="I519" s="5" t="s">
        <v>177</v>
      </c>
      <c r="J519" s="5" t="s">
        <v>33</v>
      </c>
      <c r="K519" s="7">
        <v>204600</v>
      </c>
      <c r="L519" s="8">
        <v>36828</v>
      </c>
      <c r="M519" s="9">
        <f t="shared" si="8"/>
        <v>241428</v>
      </c>
      <c r="N519" s="5" t="s">
        <v>34</v>
      </c>
    </row>
    <row r="520" spans="1:14">
      <c r="A520" s="3" t="s">
        <v>27</v>
      </c>
      <c r="B520" s="4">
        <v>28904</v>
      </c>
      <c r="C520" s="5" t="s">
        <v>1286</v>
      </c>
      <c r="D520" s="5" t="s">
        <v>1287</v>
      </c>
      <c r="E520" s="5" t="s">
        <v>1285</v>
      </c>
      <c r="F520" s="6">
        <v>44373</v>
      </c>
      <c r="G520" s="5"/>
      <c r="H520" s="5" t="s">
        <v>1231</v>
      </c>
      <c r="I520" s="5" t="s">
        <v>177</v>
      </c>
      <c r="J520" s="5" t="s">
        <v>33</v>
      </c>
      <c r="K520" s="7">
        <v>90200</v>
      </c>
      <c r="L520" s="8">
        <v>16236</v>
      </c>
      <c r="M520" s="9">
        <f t="shared" si="8"/>
        <v>106436</v>
      </c>
      <c r="N520" s="5" t="s">
        <v>34</v>
      </c>
    </row>
    <row r="521" spans="1:14">
      <c r="A521" s="3" t="s">
        <v>27</v>
      </c>
      <c r="B521" s="4">
        <v>2963</v>
      </c>
      <c r="C521" s="5" t="s">
        <v>1288</v>
      </c>
      <c r="D521" s="5" t="s">
        <v>1289</v>
      </c>
      <c r="E521" s="5" t="s">
        <v>1290</v>
      </c>
      <c r="F521" s="6">
        <v>44375</v>
      </c>
      <c r="G521" s="5"/>
      <c r="H521" s="5" t="s">
        <v>923</v>
      </c>
      <c r="I521" s="5" t="s">
        <v>177</v>
      </c>
      <c r="J521" s="5" t="s">
        <v>33</v>
      </c>
      <c r="K521" s="7">
        <v>29800</v>
      </c>
      <c r="L521" s="8">
        <v>5364</v>
      </c>
      <c r="M521" s="9">
        <f t="shared" si="8"/>
        <v>35164</v>
      </c>
      <c r="N521" s="5" t="s">
        <v>47</v>
      </c>
    </row>
    <row r="522" spans="1:14">
      <c r="A522" s="3" t="s">
        <v>27</v>
      </c>
      <c r="B522" s="4">
        <v>28906</v>
      </c>
      <c r="C522" s="5" t="s">
        <v>1291</v>
      </c>
      <c r="D522" s="5" t="s">
        <v>1292</v>
      </c>
      <c r="E522" s="5" t="s">
        <v>1293</v>
      </c>
      <c r="F522" s="6">
        <v>44375</v>
      </c>
      <c r="G522" s="5"/>
      <c r="H522" s="5" t="s">
        <v>1231</v>
      </c>
      <c r="I522" s="5" t="s">
        <v>177</v>
      </c>
      <c r="J522" s="5" t="s">
        <v>33</v>
      </c>
      <c r="K522" s="7">
        <v>609520</v>
      </c>
      <c r="L522" s="8">
        <v>181457.6</v>
      </c>
      <c r="M522" s="9">
        <f t="shared" si="8"/>
        <v>790977.6</v>
      </c>
      <c r="N522" s="5" t="s">
        <v>34</v>
      </c>
    </row>
    <row r="523" spans="1:14">
      <c r="A523" s="3" t="s">
        <v>27</v>
      </c>
      <c r="B523" s="4">
        <v>28912</v>
      </c>
      <c r="C523" s="5" t="s">
        <v>1294</v>
      </c>
      <c r="D523" s="5" t="s">
        <v>1295</v>
      </c>
      <c r="E523" s="5" t="s">
        <v>1296</v>
      </c>
      <c r="F523" s="6">
        <v>44378</v>
      </c>
      <c r="G523" s="5"/>
      <c r="H523" s="5" t="s">
        <v>923</v>
      </c>
      <c r="I523" s="5" t="s">
        <v>177</v>
      </c>
      <c r="J523" s="5" t="s">
        <v>33</v>
      </c>
      <c r="K523" s="7">
        <v>144065.12</v>
      </c>
      <c r="L523" s="8">
        <v>28409.72</v>
      </c>
      <c r="M523" s="9">
        <f t="shared" si="8"/>
        <v>172474.84</v>
      </c>
      <c r="N523" s="5" t="s">
        <v>47</v>
      </c>
    </row>
    <row r="524" spans="1:14">
      <c r="A524" s="3" t="s">
        <v>27</v>
      </c>
      <c r="B524" s="4">
        <v>28314</v>
      </c>
      <c r="C524" s="5" t="s">
        <v>1297</v>
      </c>
      <c r="D524" s="5" t="s">
        <v>1298</v>
      </c>
      <c r="E524" s="5" t="s">
        <v>1299</v>
      </c>
      <c r="F524" s="6">
        <v>44379</v>
      </c>
      <c r="G524" s="5"/>
      <c r="H524" s="5" t="s">
        <v>1231</v>
      </c>
      <c r="I524" s="5" t="s">
        <v>177</v>
      </c>
      <c r="J524" s="5" t="s">
        <v>33</v>
      </c>
      <c r="K524" s="7">
        <v>55374</v>
      </c>
      <c r="L524" s="8">
        <v>9967.32</v>
      </c>
      <c r="M524" s="9">
        <f t="shared" si="8"/>
        <v>65341.32</v>
      </c>
      <c r="N524" s="5" t="s">
        <v>47</v>
      </c>
    </row>
    <row r="525" spans="1:14">
      <c r="A525" s="3" t="s">
        <v>27</v>
      </c>
      <c r="B525" s="4">
        <v>13959</v>
      </c>
      <c r="C525" s="5" t="s">
        <v>38</v>
      </c>
      <c r="D525" s="5" t="s">
        <v>1300</v>
      </c>
      <c r="E525" s="5" t="s">
        <v>1301</v>
      </c>
      <c r="F525" s="6">
        <v>44383</v>
      </c>
      <c r="G525" s="5"/>
      <c r="H525" s="5" t="s">
        <v>176</v>
      </c>
      <c r="I525" s="5" t="s">
        <v>177</v>
      </c>
      <c r="J525" s="5" t="s">
        <v>33</v>
      </c>
      <c r="K525" s="7">
        <v>2800000</v>
      </c>
      <c r="L525" s="8">
        <v>504000</v>
      </c>
      <c r="M525" s="9">
        <f t="shared" si="8"/>
        <v>3304000</v>
      </c>
      <c r="N525" s="5" t="s">
        <v>34</v>
      </c>
    </row>
    <row r="526" spans="1:14">
      <c r="A526" s="3" t="s">
        <v>27</v>
      </c>
      <c r="B526" s="4">
        <v>27928</v>
      </c>
      <c r="C526" s="5" t="s">
        <v>1302</v>
      </c>
      <c r="D526" s="5" t="s">
        <v>1303</v>
      </c>
      <c r="E526" s="5" t="s">
        <v>1304</v>
      </c>
      <c r="F526" s="6">
        <v>44384</v>
      </c>
      <c r="G526" s="5"/>
      <c r="H526" s="5" t="s">
        <v>923</v>
      </c>
      <c r="I526" s="5" t="s">
        <v>177</v>
      </c>
      <c r="J526" s="5" t="s">
        <v>33</v>
      </c>
      <c r="K526" s="7">
        <v>5990</v>
      </c>
      <c r="L526" s="8">
        <v>1078.2</v>
      </c>
      <c r="M526" s="9">
        <f t="shared" si="8"/>
        <v>7068.2</v>
      </c>
      <c r="N526" s="5" t="s">
        <v>47</v>
      </c>
    </row>
    <row r="527" spans="1:14">
      <c r="A527" s="3" t="s">
        <v>27</v>
      </c>
      <c r="B527" s="4">
        <v>28921</v>
      </c>
      <c r="C527" s="5" t="s">
        <v>1305</v>
      </c>
      <c r="D527" s="5" t="s">
        <v>1306</v>
      </c>
      <c r="E527" s="5" t="s">
        <v>1307</v>
      </c>
      <c r="F527" s="6">
        <v>44385</v>
      </c>
      <c r="G527" s="5"/>
      <c r="H527" s="5" t="s">
        <v>176</v>
      </c>
      <c r="I527" s="5" t="s">
        <v>177</v>
      </c>
      <c r="J527" s="5" t="s">
        <v>33</v>
      </c>
      <c r="K527" s="7">
        <v>994000</v>
      </c>
      <c r="L527" s="8">
        <v>178920</v>
      </c>
      <c r="M527" s="9">
        <f t="shared" si="8"/>
        <v>1172920</v>
      </c>
      <c r="N527" s="5" t="s">
        <v>34</v>
      </c>
    </row>
    <row r="528" spans="1:14">
      <c r="A528" s="3" t="s">
        <v>27</v>
      </c>
      <c r="B528" s="4">
        <v>26243</v>
      </c>
      <c r="C528" s="5" t="s">
        <v>328</v>
      </c>
      <c r="D528" s="5" t="s">
        <v>1308</v>
      </c>
      <c r="E528" s="5" t="s">
        <v>1309</v>
      </c>
      <c r="F528" s="6">
        <v>44389</v>
      </c>
      <c r="G528" s="5"/>
      <c r="H528" s="5" t="s">
        <v>176</v>
      </c>
      <c r="I528" s="5" t="s">
        <v>177</v>
      </c>
      <c r="J528" s="5" t="s">
        <v>33</v>
      </c>
      <c r="K528" s="7">
        <v>333128</v>
      </c>
      <c r="L528" s="8">
        <v>59963.040000000001</v>
      </c>
      <c r="M528" s="9">
        <f t="shared" si="8"/>
        <v>393091.04</v>
      </c>
      <c r="N528" s="5" t="s">
        <v>34</v>
      </c>
    </row>
    <row r="529" spans="1:14">
      <c r="A529" s="3" t="s">
        <v>27</v>
      </c>
      <c r="B529" s="4">
        <v>26617</v>
      </c>
      <c r="C529" s="5" t="s">
        <v>1310</v>
      </c>
      <c r="D529" s="5" t="s">
        <v>1311</v>
      </c>
      <c r="E529" s="5" t="s">
        <v>1312</v>
      </c>
      <c r="F529" s="6">
        <v>44389</v>
      </c>
      <c r="G529" s="5"/>
      <c r="H529" s="5" t="s">
        <v>176</v>
      </c>
      <c r="I529" s="5" t="s">
        <v>177</v>
      </c>
      <c r="J529" s="5" t="s">
        <v>33</v>
      </c>
      <c r="K529" s="7">
        <v>24990</v>
      </c>
      <c r="L529" s="8">
        <v>4498.2</v>
      </c>
      <c r="M529" s="9">
        <f t="shared" si="8"/>
        <v>29488.2</v>
      </c>
      <c r="N529" s="5" t="s">
        <v>34</v>
      </c>
    </row>
    <row r="530" spans="1:14">
      <c r="A530" s="3" t="s">
        <v>27</v>
      </c>
      <c r="B530" s="4">
        <v>28524</v>
      </c>
      <c r="C530" s="5" t="s">
        <v>1313</v>
      </c>
      <c r="D530" s="5" t="s">
        <v>1314</v>
      </c>
      <c r="E530" s="5" t="s">
        <v>1315</v>
      </c>
      <c r="F530" s="6">
        <v>44389</v>
      </c>
      <c r="G530" s="5"/>
      <c r="H530" s="5" t="s">
        <v>1231</v>
      </c>
      <c r="I530" s="5" t="s">
        <v>177</v>
      </c>
      <c r="J530" s="5" t="s">
        <v>33</v>
      </c>
      <c r="K530" s="7">
        <v>491238</v>
      </c>
      <c r="L530" s="8">
        <v>88422.84</v>
      </c>
      <c r="M530" s="9">
        <f t="shared" si="8"/>
        <v>579660.84</v>
      </c>
      <c r="N530" s="5" t="s">
        <v>474</v>
      </c>
    </row>
    <row r="531" spans="1:14">
      <c r="A531" s="3" t="s">
        <v>27</v>
      </c>
      <c r="B531" s="4">
        <v>3906</v>
      </c>
      <c r="C531" s="5" t="s">
        <v>48</v>
      </c>
      <c r="D531" s="5" t="s">
        <v>1316</v>
      </c>
      <c r="E531" s="5" t="s">
        <v>1317</v>
      </c>
      <c r="F531" s="6">
        <v>44389</v>
      </c>
      <c r="G531" s="5"/>
      <c r="H531" s="5" t="s">
        <v>176</v>
      </c>
      <c r="I531" s="5" t="s">
        <v>177</v>
      </c>
      <c r="J531" s="5" t="s">
        <v>33</v>
      </c>
      <c r="K531" s="7">
        <v>3532800</v>
      </c>
      <c r="L531" s="8">
        <v>635904</v>
      </c>
      <c r="M531" s="9">
        <f t="shared" si="8"/>
        <v>4168704</v>
      </c>
      <c r="N531" s="5" t="s">
        <v>34</v>
      </c>
    </row>
    <row r="532" spans="1:14">
      <c r="A532" s="3" t="s">
        <v>27</v>
      </c>
      <c r="B532" s="4">
        <v>26755</v>
      </c>
      <c r="C532" s="5" t="s">
        <v>360</v>
      </c>
      <c r="D532" s="5" t="s">
        <v>1318</v>
      </c>
      <c r="E532" s="5" t="s">
        <v>1319</v>
      </c>
      <c r="F532" s="6">
        <v>44389</v>
      </c>
      <c r="G532" s="5"/>
      <c r="H532" s="5" t="s">
        <v>176</v>
      </c>
      <c r="I532" s="5" t="s">
        <v>177</v>
      </c>
      <c r="J532" s="5" t="s">
        <v>33</v>
      </c>
      <c r="K532" s="7">
        <v>157500</v>
      </c>
      <c r="L532" s="8">
        <v>28350</v>
      </c>
      <c r="M532" s="9">
        <f t="shared" si="8"/>
        <v>185850</v>
      </c>
      <c r="N532" s="5" t="s">
        <v>34</v>
      </c>
    </row>
    <row r="533" spans="1:14">
      <c r="A533" s="3" t="s">
        <v>27</v>
      </c>
      <c r="B533" s="4">
        <v>18546</v>
      </c>
      <c r="C533" s="5" t="s">
        <v>1116</v>
      </c>
      <c r="D533" s="5" t="s">
        <v>1320</v>
      </c>
      <c r="E533" s="5" t="s">
        <v>1321</v>
      </c>
      <c r="F533" s="6">
        <v>44390</v>
      </c>
      <c r="G533" s="5"/>
      <c r="H533" s="5" t="s">
        <v>923</v>
      </c>
      <c r="I533" s="5" t="s">
        <v>177</v>
      </c>
      <c r="J533" s="5" t="s">
        <v>33</v>
      </c>
      <c r="K533" s="7">
        <v>52900</v>
      </c>
      <c r="L533" s="8">
        <v>6348</v>
      </c>
      <c r="M533" s="9">
        <f t="shared" si="8"/>
        <v>59248</v>
      </c>
      <c r="N533" s="5" t="s">
        <v>47</v>
      </c>
    </row>
    <row r="534" spans="1:14">
      <c r="A534" s="3" t="s">
        <v>27</v>
      </c>
      <c r="B534" s="4">
        <v>28878</v>
      </c>
      <c r="C534" s="5" t="s">
        <v>1322</v>
      </c>
      <c r="D534" s="5" t="s">
        <v>1323</v>
      </c>
      <c r="E534" s="5" t="s">
        <v>1324</v>
      </c>
      <c r="F534" s="6">
        <v>44390</v>
      </c>
      <c r="G534" s="5"/>
      <c r="H534" s="5" t="s">
        <v>176</v>
      </c>
      <c r="I534" s="5" t="s">
        <v>177</v>
      </c>
      <c r="J534" s="5" t="s">
        <v>33</v>
      </c>
      <c r="K534" s="7">
        <v>203850</v>
      </c>
      <c r="L534" s="10"/>
      <c r="M534" s="9">
        <f t="shared" si="8"/>
        <v>203850</v>
      </c>
      <c r="N534" s="5" t="s">
        <v>34</v>
      </c>
    </row>
    <row r="535" spans="1:14">
      <c r="A535" s="3" t="s">
        <v>27</v>
      </c>
      <c r="B535" s="4">
        <v>19375</v>
      </c>
      <c r="C535" s="5" t="s">
        <v>1012</v>
      </c>
      <c r="D535" s="5" t="s">
        <v>1325</v>
      </c>
      <c r="E535" s="5" t="s">
        <v>544</v>
      </c>
      <c r="F535" s="6">
        <v>44394</v>
      </c>
      <c r="G535" s="5"/>
      <c r="H535" s="5" t="s">
        <v>176</v>
      </c>
      <c r="I535" s="5" t="s">
        <v>177</v>
      </c>
      <c r="J535" s="5" t="s">
        <v>33</v>
      </c>
      <c r="K535" s="7">
        <v>117500</v>
      </c>
      <c r="L535" s="8">
        <v>21150</v>
      </c>
      <c r="M535" s="9">
        <f t="shared" si="8"/>
        <v>138650</v>
      </c>
      <c r="N535" s="5" t="s">
        <v>34</v>
      </c>
    </row>
    <row r="536" spans="1:14">
      <c r="A536" s="3" t="s">
        <v>27</v>
      </c>
      <c r="B536" s="4">
        <v>18560</v>
      </c>
      <c r="C536" s="5" t="s">
        <v>133</v>
      </c>
      <c r="D536" s="5" t="s">
        <v>1326</v>
      </c>
      <c r="E536" s="5" t="s">
        <v>1327</v>
      </c>
      <c r="F536" s="6">
        <v>44394</v>
      </c>
      <c r="G536" s="5"/>
      <c r="H536" s="5" t="s">
        <v>1231</v>
      </c>
      <c r="I536" s="5" t="s">
        <v>177</v>
      </c>
      <c r="J536" s="5" t="s">
        <v>33</v>
      </c>
      <c r="K536" s="7">
        <v>583500</v>
      </c>
      <c r="L536" s="8">
        <v>105030</v>
      </c>
      <c r="M536" s="9">
        <f t="shared" si="8"/>
        <v>688530</v>
      </c>
      <c r="N536" s="5" t="s">
        <v>474</v>
      </c>
    </row>
    <row r="537" spans="1:14">
      <c r="A537" s="3" t="s">
        <v>27</v>
      </c>
      <c r="B537" s="4">
        <v>26248</v>
      </c>
      <c r="C537" s="5" t="s">
        <v>284</v>
      </c>
      <c r="D537" s="5" t="s">
        <v>1328</v>
      </c>
      <c r="E537" s="5" t="s">
        <v>1329</v>
      </c>
      <c r="F537" s="6">
        <v>44396</v>
      </c>
      <c r="G537" s="5"/>
      <c r="H537" s="5" t="s">
        <v>176</v>
      </c>
      <c r="I537" s="5" t="s">
        <v>177</v>
      </c>
      <c r="J537" s="5" t="s">
        <v>33</v>
      </c>
      <c r="K537" s="7">
        <v>25530</v>
      </c>
      <c r="L537" s="8">
        <v>4595.3999999999996</v>
      </c>
      <c r="M537" s="9">
        <f t="shared" si="8"/>
        <v>30125.4</v>
      </c>
      <c r="N537" s="5" t="s">
        <v>34</v>
      </c>
    </row>
    <row r="538" spans="1:14">
      <c r="A538" s="3" t="s">
        <v>27</v>
      </c>
      <c r="B538" s="4">
        <v>1885</v>
      </c>
      <c r="C538" s="5" t="s">
        <v>340</v>
      </c>
      <c r="D538" s="5" t="s">
        <v>1330</v>
      </c>
      <c r="E538" s="5" t="s">
        <v>1331</v>
      </c>
      <c r="F538" s="6">
        <v>44397</v>
      </c>
      <c r="G538" s="5"/>
      <c r="H538" s="5" t="s">
        <v>923</v>
      </c>
      <c r="I538" s="5" t="s">
        <v>177</v>
      </c>
      <c r="J538" s="5" t="s">
        <v>33</v>
      </c>
      <c r="K538" s="7">
        <v>6742.12</v>
      </c>
      <c r="L538" s="8">
        <v>1213.58</v>
      </c>
      <c r="M538" s="9">
        <f t="shared" si="8"/>
        <v>7955.7</v>
      </c>
      <c r="N538" s="5" t="s">
        <v>47</v>
      </c>
    </row>
    <row r="539" spans="1:14">
      <c r="A539" s="3" t="s">
        <v>27</v>
      </c>
      <c r="B539" s="4">
        <v>25784</v>
      </c>
      <c r="C539" s="5" t="s">
        <v>1332</v>
      </c>
      <c r="D539" s="5" t="s">
        <v>1333</v>
      </c>
      <c r="E539" s="5" t="s">
        <v>1334</v>
      </c>
      <c r="F539" s="6">
        <v>44399</v>
      </c>
      <c r="G539" s="5"/>
      <c r="H539" s="5" t="s">
        <v>176</v>
      </c>
      <c r="I539" s="5" t="s">
        <v>177</v>
      </c>
      <c r="J539" s="5" t="s">
        <v>33</v>
      </c>
      <c r="K539" s="7">
        <v>60000</v>
      </c>
      <c r="L539" s="8">
        <v>10800</v>
      </c>
      <c r="M539" s="9">
        <f t="shared" si="8"/>
        <v>70800</v>
      </c>
      <c r="N539" s="5" t="s">
        <v>34</v>
      </c>
    </row>
    <row r="540" spans="1:14">
      <c r="A540" s="3" t="s">
        <v>27</v>
      </c>
      <c r="B540" s="4">
        <v>28939</v>
      </c>
      <c r="C540" s="5" t="s">
        <v>1335</v>
      </c>
      <c r="D540" s="5" t="s">
        <v>1336</v>
      </c>
      <c r="E540" s="5" t="s">
        <v>1337</v>
      </c>
      <c r="F540" s="6">
        <v>44399</v>
      </c>
      <c r="G540" s="5"/>
      <c r="H540" s="5" t="s">
        <v>923</v>
      </c>
      <c r="I540" s="5" t="s">
        <v>177</v>
      </c>
      <c r="J540" s="5" t="s">
        <v>33</v>
      </c>
      <c r="K540" s="7">
        <v>5280</v>
      </c>
      <c r="L540" s="8">
        <v>950.4</v>
      </c>
      <c r="M540" s="9">
        <f t="shared" si="8"/>
        <v>6230.4</v>
      </c>
      <c r="N540" s="5" t="s">
        <v>47</v>
      </c>
    </row>
    <row r="541" spans="1:14">
      <c r="A541" s="3" t="s">
        <v>27</v>
      </c>
      <c r="B541" s="4">
        <v>1885</v>
      </c>
      <c r="C541" s="5" t="s">
        <v>340</v>
      </c>
      <c r="D541" s="5" t="s">
        <v>1338</v>
      </c>
      <c r="E541" s="5" t="s">
        <v>1339</v>
      </c>
      <c r="F541" s="6">
        <v>44399</v>
      </c>
      <c r="G541" s="5"/>
      <c r="H541" s="5" t="s">
        <v>923</v>
      </c>
      <c r="I541" s="5" t="s">
        <v>177</v>
      </c>
      <c r="J541" s="5" t="s">
        <v>33</v>
      </c>
      <c r="K541" s="7">
        <v>116720</v>
      </c>
      <c r="L541" s="8">
        <v>21009.599999999999</v>
      </c>
      <c r="M541" s="9">
        <f t="shared" si="8"/>
        <v>137729.60000000001</v>
      </c>
      <c r="N541" s="5" t="s">
        <v>47</v>
      </c>
    </row>
    <row r="542" spans="1:14">
      <c r="A542" s="3" t="s">
        <v>27</v>
      </c>
      <c r="B542" s="4">
        <v>3464</v>
      </c>
      <c r="C542" s="5" t="s">
        <v>472</v>
      </c>
      <c r="D542" s="5" t="s">
        <v>1340</v>
      </c>
      <c r="E542" s="5" t="s">
        <v>1341</v>
      </c>
      <c r="F542" s="6">
        <v>44399</v>
      </c>
      <c r="G542" s="5"/>
      <c r="H542" s="5" t="s">
        <v>923</v>
      </c>
      <c r="I542" s="5" t="s">
        <v>177</v>
      </c>
      <c r="J542" s="5" t="s">
        <v>33</v>
      </c>
      <c r="K542" s="7">
        <v>195195</v>
      </c>
      <c r="L542" s="8">
        <v>35135.1</v>
      </c>
      <c r="M542" s="9">
        <f t="shared" si="8"/>
        <v>230330.1</v>
      </c>
      <c r="N542" s="5" t="s">
        <v>47</v>
      </c>
    </row>
    <row r="543" spans="1:14">
      <c r="A543" s="3" t="s">
        <v>27</v>
      </c>
      <c r="B543" s="4">
        <v>3798</v>
      </c>
      <c r="C543" s="5" t="s">
        <v>776</v>
      </c>
      <c r="D543" s="5" t="s">
        <v>1342</v>
      </c>
      <c r="E543" s="5" t="s">
        <v>1343</v>
      </c>
      <c r="F543" s="6">
        <v>44399</v>
      </c>
      <c r="G543" s="5"/>
      <c r="H543" s="5" t="s">
        <v>923</v>
      </c>
      <c r="I543" s="5" t="s">
        <v>177</v>
      </c>
      <c r="J543" s="5" t="s">
        <v>33</v>
      </c>
      <c r="K543" s="7">
        <v>34800</v>
      </c>
      <c r="L543" s="8">
        <v>9744</v>
      </c>
      <c r="M543" s="9">
        <f t="shared" si="8"/>
        <v>44544</v>
      </c>
      <c r="N543" s="5" t="s">
        <v>47</v>
      </c>
    </row>
    <row r="544" spans="1:14">
      <c r="A544" s="3" t="s">
        <v>27</v>
      </c>
      <c r="B544" s="4">
        <v>28358</v>
      </c>
      <c r="C544" s="5" t="s">
        <v>1344</v>
      </c>
      <c r="D544" s="5" t="s">
        <v>1345</v>
      </c>
      <c r="E544" s="5" t="s">
        <v>1346</v>
      </c>
      <c r="F544" s="6">
        <v>44399</v>
      </c>
      <c r="G544" s="5"/>
      <c r="H544" s="5" t="s">
        <v>923</v>
      </c>
      <c r="I544" s="5" t="s">
        <v>177</v>
      </c>
      <c r="J544" s="5" t="s">
        <v>33</v>
      </c>
      <c r="K544" s="7">
        <v>54047</v>
      </c>
      <c r="L544" s="8">
        <v>6824.88</v>
      </c>
      <c r="M544" s="9">
        <f t="shared" si="8"/>
        <v>60871.88</v>
      </c>
      <c r="N544" s="5" t="s">
        <v>47</v>
      </c>
    </row>
    <row r="545" spans="1:14">
      <c r="A545" s="3" t="s">
        <v>27</v>
      </c>
      <c r="B545" s="4">
        <v>21992</v>
      </c>
      <c r="C545" s="5" t="s">
        <v>412</v>
      </c>
      <c r="D545" s="5" t="s">
        <v>1347</v>
      </c>
      <c r="E545" s="5" t="s">
        <v>1348</v>
      </c>
      <c r="F545" s="6">
        <v>44400</v>
      </c>
      <c r="G545" s="5"/>
      <c r="H545" s="5" t="s">
        <v>176</v>
      </c>
      <c r="I545" s="5" t="s">
        <v>177</v>
      </c>
      <c r="J545" s="5" t="s">
        <v>33</v>
      </c>
      <c r="K545" s="7">
        <v>472311</v>
      </c>
      <c r="L545" s="8">
        <v>85015.98</v>
      </c>
      <c r="M545" s="9">
        <f t="shared" si="8"/>
        <v>557326.98</v>
      </c>
      <c r="N545" s="5" t="s">
        <v>34</v>
      </c>
    </row>
    <row r="546" spans="1:14">
      <c r="A546" s="3" t="s">
        <v>27</v>
      </c>
      <c r="B546" s="4">
        <v>28936</v>
      </c>
      <c r="C546" s="5" t="s">
        <v>1349</v>
      </c>
      <c r="D546" s="5" t="s">
        <v>1350</v>
      </c>
      <c r="E546" s="5" t="s">
        <v>1351</v>
      </c>
      <c r="F546" s="6">
        <v>44404</v>
      </c>
      <c r="G546" s="5"/>
      <c r="H546" s="5" t="s">
        <v>923</v>
      </c>
      <c r="I546" s="5" t="s">
        <v>177</v>
      </c>
      <c r="J546" s="5" t="s">
        <v>33</v>
      </c>
      <c r="K546" s="7">
        <v>206360</v>
      </c>
      <c r="L546" s="8">
        <v>37144.800000000003</v>
      </c>
      <c r="M546" s="9">
        <f t="shared" si="8"/>
        <v>243504.8</v>
      </c>
      <c r="N546" s="5" t="s">
        <v>34</v>
      </c>
    </row>
    <row r="547" spans="1:14">
      <c r="A547" s="3" t="s">
        <v>27</v>
      </c>
      <c r="B547" s="4">
        <v>16755</v>
      </c>
      <c r="C547" s="5" t="s">
        <v>420</v>
      </c>
      <c r="D547" s="5" t="s">
        <v>1352</v>
      </c>
      <c r="E547" s="5" t="s">
        <v>1353</v>
      </c>
      <c r="F547" s="6">
        <v>44405</v>
      </c>
      <c r="G547" s="5"/>
      <c r="H547" s="5" t="s">
        <v>176</v>
      </c>
      <c r="I547" s="5" t="s">
        <v>177</v>
      </c>
      <c r="J547" s="5" t="s">
        <v>33</v>
      </c>
      <c r="K547" s="7">
        <v>72400</v>
      </c>
      <c r="L547" s="8">
        <v>13032</v>
      </c>
      <c r="M547" s="9">
        <f t="shared" si="8"/>
        <v>85432</v>
      </c>
      <c r="N547" s="5" t="s">
        <v>34</v>
      </c>
    </row>
    <row r="548" spans="1:14">
      <c r="A548" s="3" t="s">
        <v>27</v>
      </c>
      <c r="B548" s="4">
        <v>3464</v>
      </c>
      <c r="C548" s="5" t="s">
        <v>472</v>
      </c>
      <c r="D548" s="5" t="s">
        <v>1354</v>
      </c>
      <c r="E548" s="5" t="s">
        <v>1355</v>
      </c>
      <c r="F548" s="6">
        <v>44405</v>
      </c>
      <c r="G548" s="5"/>
      <c r="H548" s="5" t="s">
        <v>923</v>
      </c>
      <c r="I548" s="5" t="s">
        <v>177</v>
      </c>
      <c r="J548" s="5" t="s">
        <v>33</v>
      </c>
      <c r="K548" s="7">
        <v>18900</v>
      </c>
      <c r="L548" s="8">
        <v>3402</v>
      </c>
      <c r="M548" s="9">
        <f t="shared" si="8"/>
        <v>22302</v>
      </c>
      <c r="N548" s="5" t="s">
        <v>47</v>
      </c>
    </row>
    <row r="549" spans="1:14">
      <c r="A549" s="3" t="s">
        <v>27</v>
      </c>
      <c r="B549" s="4">
        <v>28948</v>
      </c>
      <c r="C549" s="5" t="s">
        <v>1356</v>
      </c>
      <c r="D549" s="5" t="s">
        <v>1357</v>
      </c>
      <c r="E549" s="5" t="s">
        <v>1358</v>
      </c>
      <c r="F549" s="6">
        <v>44406</v>
      </c>
      <c r="G549" s="5"/>
      <c r="H549" s="5" t="s">
        <v>923</v>
      </c>
      <c r="I549" s="5" t="s">
        <v>177</v>
      </c>
      <c r="J549" s="5" t="s">
        <v>33</v>
      </c>
      <c r="K549" s="7">
        <v>1925</v>
      </c>
      <c r="L549" s="8">
        <v>676.9</v>
      </c>
      <c r="M549" s="9">
        <f t="shared" si="8"/>
        <v>2601.9</v>
      </c>
      <c r="N549" s="5" t="s">
        <v>47</v>
      </c>
    </row>
    <row r="550" spans="1:14">
      <c r="A550" s="3" t="s">
        <v>27</v>
      </c>
      <c r="B550" s="4">
        <v>3065</v>
      </c>
      <c r="C550" s="5" t="s">
        <v>1159</v>
      </c>
      <c r="D550" s="5" t="s">
        <v>1359</v>
      </c>
      <c r="E550" s="5" t="s">
        <v>1360</v>
      </c>
      <c r="F550" s="6">
        <v>44410</v>
      </c>
      <c r="G550" s="5"/>
      <c r="H550" s="5" t="s">
        <v>923</v>
      </c>
      <c r="I550" s="5" t="s">
        <v>177</v>
      </c>
      <c r="J550" s="5" t="s">
        <v>33</v>
      </c>
      <c r="K550" s="7">
        <v>27832</v>
      </c>
      <c r="L550" s="8">
        <v>5009.76</v>
      </c>
      <c r="M550" s="9">
        <f t="shared" si="8"/>
        <v>32841.760000000002</v>
      </c>
      <c r="N550" s="5" t="s">
        <v>47</v>
      </c>
    </row>
    <row r="551" spans="1:14">
      <c r="A551" s="3" t="s">
        <v>27</v>
      </c>
      <c r="B551" s="4">
        <v>1885</v>
      </c>
      <c r="C551" s="5" t="s">
        <v>340</v>
      </c>
      <c r="D551" s="5" t="s">
        <v>1361</v>
      </c>
      <c r="E551" s="5" t="s">
        <v>1362</v>
      </c>
      <c r="F551" s="6">
        <v>44413</v>
      </c>
      <c r="G551" s="5"/>
      <c r="H551" s="5" t="s">
        <v>176</v>
      </c>
      <c r="I551" s="5" t="s">
        <v>177</v>
      </c>
      <c r="J551" s="5" t="s">
        <v>33</v>
      </c>
      <c r="K551" s="7">
        <v>120696</v>
      </c>
      <c r="L551" s="8">
        <v>21725.279999999999</v>
      </c>
      <c r="M551" s="9">
        <f t="shared" si="8"/>
        <v>142421.28</v>
      </c>
      <c r="N551" s="5" t="s">
        <v>34</v>
      </c>
    </row>
    <row r="552" spans="1:14">
      <c r="A552" s="3" t="s">
        <v>27</v>
      </c>
      <c r="B552" s="4">
        <v>28938</v>
      </c>
      <c r="C552" s="5" t="s">
        <v>1363</v>
      </c>
      <c r="D552" s="5" t="s">
        <v>1364</v>
      </c>
      <c r="E552" s="5" t="s">
        <v>1365</v>
      </c>
      <c r="F552" s="6">
        <v>44414</v>
      </c>
      <c r="G552" s="5"/>
      <c r="H552" s="5" t="s">
        <v>923</v>
      </c>
      <c r="I552" s="5" t="s">
        <v>177</v>
      </c>
      <c r="J552" s="5" t="s">
        <v>33</v>
      </c>
      <c r="K552" s="7">
        <v>40625</v>
      </c>
      <c r="L552" s="8">
        <v>7312.5</v>
      </c>
      <c r="M552" s="9">
        <f t="shared" si="8"/>
        <v>47937.5</v>
      </c>
      <c r="N552" s="5" t="s">
        <v>47</v>
      </c>
    </row>
    <row r="553" spans="1:14">
      <c r="A553" s="3" t="s">
        <v>27</v>
      </c>
      <c r="B553" s="4">
        <v>21181</v>
      </c>
      <c r="C553" s="5" t="s">
        <v>1366</v>
      </c>
      <c r="D553" s="5" t="s">
        <v>1367</v>
      </c>
      <c r="E553" s="5" t="s">
        <v>1368</v>
      </c>
      <c r="F553" s="6">
        <v>44418</v>
      </c>
      <c r="G553" s="5"/>
      <c r="H553" s="5" t="s">
        <v>176</v>
      </c>
      <c r="I553" s="5" t="s">
        <v>177</v>
      </c>
      <c r="J553" s="5" t="s">
        <v>33</v>
      </c>
      <c r="K553" s="7">
        <v>3105000</v>
      </c>
      <c r="L553" s="8">
        <v>558900</v>
      </c>
      <c r="M553" s="9">
        <f t="shared" si="8"/>
        <v>3663900</v>
      </c>
      <c r="N553" s="5" t="s">
        <v>34</v>
      </c>
    </row>
    <row r="554" spans="1:14">
      <c r="A554" s="3" t="s">
        <v>27</v>
      </c>
      <c r="B554" s="4">
        <v>22125</v>
      </c>
      <c r="C554" s="5" t="s">
        <v>522</v>
      </c>
      <c r="D554" s="5" t="s">
        <v>1369</v>
      </c>
      <c r="E554" s="5" t="s">
        <v>1370</v>
      </c>
      <c r="F554" s="6">
        <v>44419</v>
      </c>
      <c r="G554" s="5"/>
      <c r="H554" s="5" t="s">
        <v>176</v>
      </c>
      <c r="I554" s="5" t="s">
        <v>177</v>
      </c>
      <c r="J554" s="5" t="s">
        <v>33</v>
      </c>
      <c r="K554" s="7">
        <v>837000</v>
      </c>
      <c r="L554" s="8">
        <v>150660</v>
      </c>
      <c r="M554" s="9">
        <f t="shared" si="8"/>
        <v>987660</v>
      </c>
      <c r="N554" s="5" t="s">
        <v>34</v>
      </c>
    </row>
    <row r="555" spans="1:14">
      <c r="A555" s="3" t="s">
        <v>27</v>
      </c>
      <c r="B555" s="4">
        <v>17099</v>
      </c>
      <c r="C555" s="5" t="s">
        <v>1371</v>
      </c>
      <c r="D555" s="5" t="s">
        <v>1372</v>
      </c>
      <c r="E555" s="5" t="s">
        <v>1373</v>
      </c>
      <c r="F555" s="6">
        <v>44419</v>
      </c>
      <c r="G555" s="5"/>
      <c r="H555" s="5" t="s">
        <v>1231</v>
      </c>
      <c r="I555" s="5" t="s">
        <v>177</v>
      </c>
      <c r="J555" s="5" t="s">
        <v>33</v>
      </c>
      <c r="K555" s="7">
        <v>3528600</v>
      </c>
      <c r="L555" s="8">
        <v>635148</v>
      </c>
      <c r="M555" s="9">
        <f t="shared" si="8"/>
        <v>4163748</v>
      </c>
      <c r="N555" s="5" t="s">
        <v>474</v>
      </c>
    </row>
    <row r="556" spans="1:14">
      <c r="A556" s="3" t="s">
        <v>27</v>
      </c>
      <c r="B556" s="4">
        <v>17537</v>
      </c>
      <c r="C556" s="5" t="s">
        <v>441</v>
      </c>
      <c r="D556" s="5" t="s">
        <v>1374</v>
      </c>
      <c r="E556" s="5" t="s">
        <v>1375</v>
      </c>
      <c r="F556" s="6">
        <v>44421</v>
      </c>
      <c r="G556" s="5"/>
      <c r="H556" s="5" t="s">
        <v>176</v>
      </c>
      <c r="I556" s="5" t="s">
        <v>177</v>
      </c>
      <c r="J556" s="5" t="s">
        <v>33</v>
      </c>
      <c r="K556" s="7">
        <v>92000</v>
      </c>
      <c r="L556" s="8">
        <v>16560</v>
      </c>
      <c r="M556" s="9">
        <f t="shared" si="8"/>
        <v>108560</v>
      </c>
      <c r="N556" s="5" t="s">
        <v>34</v>
      </c>
    </row>
    <row r="557" spans="1:14">
      <c r="A557" s="3" t="s">
        <v>27</v>
      </c>
      <c r="B557" s="4">
        <v>3798</v>
      </c>
      <c r="C557" s="5" t="s">
        <v>776</v>
      </c>
      <c r="D557" s="5" t="s">
        <v>1376</v>
      </c>
      <c r="E557" s="5" t="s">
        <v>1377</v>
      </c>
      <c r="F557" s="6">
        <v>44421</v>
      </c>
      <c r="G557" s="5"/>
      <c r="H557" s="5" t="s">
        <v>923</v>
      </c>
      <c r="I557" s="5" t="s">
        <v>177</v>
      </c>
      <c r="J557" s="5" t="s">
        <v>33</v>
      </c>
      <c r="K557" s="7">
        <v>57096</v>
      </c>
      <c r="L557" s="8">
        <v>10277.280000000001</v>
      </c>
      <c r="M557" s="9">
        <f t="shared" si="8"/>
        <v>67373.279999999999</v>
      </c>
      <c r="N557" s="5" t="s">
        <v>47</v>
      </c>
    </row>
    <row r="558" spans="1:14">
      <c r="A558" s="3" t="s">
        <v>27</v>
      </c>
      <c r="B558" s="4">
        <v>21161</v>
      </c>
      <c r="C558" s="5" t="s">
        <v>363</v>
      </c>
      <c r="D558" s="5" t="s">
        <v>1378</v>
      </c>
      <c r="E558" s="5" t="s">
        <v>1379</v>
      </c>
      <c r="F558" s="6">
        <v>44425</v>
      </c>
      <c r="G558" s="5"/>
      <c r="H558" s="5" t="s">
        <v>176</v>
      </c>
      <c r="I558" s="5" t="s">
        <v>177</v>
      </c>
      <c r="J558" s="5" t="s">
        <v>33</v>
      </c>
      <c r="K558" s="7">
        <v>234320</v>
      </c>
      <c r="L558" s="8">
        <v>42177.599999999999</v>
      </c>
      <c r="M558" s="9">
        <f t="shared" si="8"/>
        <v>276497.59999999998</v>
      </c>
      <c r="N558" s="5" t="s">
        <v>34</v>
      </c>
    </row>
    <row r="559" spans="1:14">
      <c r="A559" s="3" t="s">
        <v>27</v>
      </c>
      <c r="B559" s="4">
        <v>3651</v>
      </c>
      <c r="C559" s="5" t="s">
        <v>1057</v>
      </c>
      <c r="D559" s="5" t="s">
        <v>1380</v>
      </c>
      <c r="E559" s="5" t="s">
        <v>1381</v>
      </c>
      <c r="F559" s="6">
        <v>44426</v>
      </c>
      <c r="G559" s="5"/>
      <c r="H559" s="5" t="s">
        <v>923</v>
      </c>
      <c r="I559" s="5" t="s">
        <v>177</v>
      </c>
      <c r="J559" s="5" t="s">
        <v>46</v>
      </c>
      <c r="K559" s="7">
        <v>20000</v>
      </c>
      <c r="L559" s="8">
        <v>27200</v>
      </c>
      <c r="M559" s="9">
        <f t="shared" si="8"/>
        <v>47200</v>
      </c>
      <c r="N559" s="5" t="s">
        <v>47</v>
      </c>
    </row>
    <row r="560" spans="1:14">
      <c r="A560" s="3" t="s">
        <v>27</v>
      </c>
      <c r="B560" s="4">
        <v>3511</v>
      </c>
      <c r="C560" s="5" t="s">
        <v>1382</v>
      </c>
      <c r="D560" s="5" t="s">
        <v>1383</v>
      </c>
      <c r="E560" s="5" t="s">
        <v>1384</v>
      </c>
      <c r="F560" s="6">
        <v>44426</v>
      </c>
      <c r="G560" s="5"/>
      <c r="H560" s="5" t="s">
        <v>923</v>
      </c>
      <c r="I560" s="5" t="s">
        <v>177</v>
      </c>
      <c r="J560" s="5" t="s">
        <v>46</v>
      </c>
      <c r="K560" s="7">
        <v>180000</v>
      </c>
      <c r="L560" s="8">
        <v>56000</v>
      </c>
      <c r="M560" s="9">
        <f t="shared" si="8"/>
        <v>236000</v>
      </c>
      <c r="N560" s="5" t="s">
        <v>47</v>
      </c>
    </row>
    <row r="561" spans="1:14">
      <c r="A561" s="3" t="s">
        <v>27</v>
      </c>
      <c r="B561" s="4">
        <v>3464</v>
      </c>
      <c r="C561" s="5" t="s">
        <v>472</v>
      </c>
      <c r="D561" s="5" t="s">
        <v>1385</v>
      </c>
      <c r="E561" s="5" t="s">
        <v>1386</v>
      </c>
      <c r="F561" s="6">
        <v>44433</v>
      </c>
      <c r="G561" s="5"/>
      <c r="H561" s="5" t="s">
        <v>923</v>
      </c>
      <c r="I561" s="5" t="s">
        <v>177</v>
      </c>
      <c r="J561" s="5" t="s">
        <v>33</v>
      </c>
      <c r="K561" s="7">
        <v>342720.7</v>
      </c>
      <c r="L561" s="8">
        <v>61689.74</v>
      </c>
      <c r="M561" s="9">
        <f t="shared" si="8"/>
        <v>404410.44</v>
      </c>
      <c r="N561" s="5" t="s">
        <v>47</v>
      </c>
    </row>
    <row r="562" spans="1:14">
      <c r="A562" s="3" t="s">
        <v>27</v>
      </c>
      <c r="B562" s="4">
        <v>15115</v>
      </c>
      <c r="C562" s="5" t="s">
        <v>303</v>
      </c>
      <c r="D562" s="5" t="s">
        <v>1387</v>
      </c>
      <c r="E562" s="5" t="s">
        <v>1388</v>
      </c>
      <c r="F562" s="6">
        <v>44434</v>
      </c>
      <c r="G562" s="5"/>
      <c r="H562" s="5" t="s">
        <v>923</v>
      </c>
      <c r="I562" s="5" t="s">
        <v>177</v>
      </c>
      <c r="J562" s="5" t="s">
        <v>33</v>
      </c>
      <c r="K562" s="7">
        <v>64800.79</v>
      </c>
      <c r="L562" s="8">
        <v>18144.22</v>
      </c>
      <c r="M562" s="9">
        <f t="shared" si="8"/>
        <v>82945.010000000009</v>
      </c>
      <c r="N562" s="5" t="s">
        <v>47</v>
      </c>
    </row>
    <row r="563" spans="1:14">
      <c r="A563" s="3" t="s">
        <v>27</v>
      </c>
      <c r="B563" s="4">
        <v>28984</v>
      </c>
      <c r="C563" s="5" t="s">
        <v>1389</v>
      </c>
      <c r="D563" s="5" t="s">
        <v>1390</v>
      </c>
      <c r="E563" s="5" t="s">
        <v>1391</v>
      </c>
      <c r="F563" s="6">
        <v>44434</v>
      </c>
      <c r="G563" s="5"/>
      <c r="H563" s="5" t="s">
        <v>923</v>
      </c>
      <c r="I563" s="5" t="s">
        <v>177</v>
      </c>
      <c r="J563" s="5" t="s">
        <v>33</v>
      </c>
      <c r="K563" s="7">
        <v>15120</v>
      </c>
      <c r="L563" s="8">
        <v>2721.6</v>
      </c>
      <c r="M563" s="9">
        <f t="shared" si="8"/>
        <v>17841.599999999999</v>
      </c>
      <c r="N563" s="5" t="s">
        <v>47</v>
      </c>
    </row>
    <row r="564" spans="1:14">
      <c r="A564" s="3" t="s">
        <v>27</v>
      </c>
      <c r="B564" s="4">
        <v>3852</v>
      </c>
      <c r="C564" s="5" t="s">
        <v>1392</v>
      </c>
      <c r="D564" s="5" t="s">
        <v>1393</v>
      </c>
      <c r="E564" s="5" t="s">
        <v>1394</v>
      </c>
      <c r="F564" s="6">
        <v>44435</v>
      </c>
      <c r="G564" s="5"/>
      <c r="H564" s="5" t="s">
        <v>923</v>
      </c>
      <c r="I564" s="5" t="s">
        <v>177</v>
      </c>
      <c r="J564" s="5" t="s">
        <v>33</v>
      </c>
      <c r="K564" s="7">
        <v>58310</v>
      </c>
      <c r="L564" s="8">
        <v>10495.8</v>
      </c>
      <c r="M564" s="9">
        <f t="shared" si="8"/>
        <v>68805.8</v>
      </c>
      <c r="N564" s="5" t="s">
        <v>47</v>
      </c>
    </row>
    <row r="565" spans="1:14">
      <c r="A565" s="3" t="s">
        <v>27</v>
      </c>
      <c r="B565" s="4">
        <v>28358</v>
      </c>
      <c r="C565" s="5" t="s">
        <v>1344</v>
      </c>
      <c r="D565" s="5" t="s">
        <v>1395</v>
      </c>
      <c r="E565" s="5" t="s">
        <v>1396</v>
      </c>
      <c r="F565" s="6">
        <v>44435</v>
      </c>
      <c r="G565" s="5"/>
      <c r="H565" s="5" t="s">
        <v>923</v>
      </c>
      <c r="I565" s="5" t="s">
        <v>177</v>
      </c>
      <c r="J565" s="5" t="s">
        <v>33</v>
      </c>
      <c r="K565" s="7">
        <v>1634</v>
      </c>
      <c r="L565" s="8">
        <v>294.12</v>
      </c>
      <c r="M565" s="9">
        <f t="shared" si="8"/>
        <v>1928.12</v>
      </c>
      <c r="N565" s="5" t="s">
        <v>47</v>
      </c>
    </row>
    <row r="566" spans="1:14">
      <c r="A566" s="3" t="s">
        <v>27</v>
      </c>
      <c r="B566" s="4">
        <v>28985</v>
      </c>
      <c r="C566" s="5" t="s">
        <v>1397</v>
      </c>
      <c r="D566" s="5" t="s">
        <v>1398</v>
      </c>
      <c r="E566" s="5" t="s">
        <v>1399</v>
      </c>
      <c r="F566" s="6">
        <v>44435</v>
      </c>
      <c r="G566" s="5"/>
      <c r="H566" s="5" t="s">
        <v>923</v>
      </c>
      <c r="I566" s="5" t="s">
        <v>177</v>
      </c>
      <c r="J566" s="5" t="s">
        <v>33</v>
      </c>
      <c r="K566" s="7">
        <v>3800</v>
      </c>
      <c r="L566" s="8">
        <v>684</v>
      </c>
      <c r="M566" s="9">
        <f t="shared" si="8"/>
        <v>4484</v>
      </c>
      <c r="N566" s="5" t="s">
        <v>47</v>
      </c>
    </row>
    <row r="567" spans="1:14">
      <c r="A567" s="3" t="s">
        <v>27</v>
      </c>
      <c r="B567" s="4">
        <v>28988</v>
      </c>
      <c r="C567" s="5" t="s">
        <v>1400</v>
      </c>
      <c r="D567" s="5" t="s">
        <v>1401</v>
      </c>
      <c r="E567" s="5" t="s">
        <v>1402</v>
      </c>
      <c r="F567" s="6">
        <v>44436</v>
      </c>
      <c r="G567" s="5"/>
      <c r="H567" s="5" t="s">
        <v>411</v>
      </c>
      <c r="I567" s="5" t="s">
        <v>177</v>
      </c>
      <c r="J567" s="5" t="s">
        <v>33</v>
      </c>
      <c r="K567" s="7">
        <v>187520</v>
      </c>
      <c r="L567" s="8">
        <v>47913.599999999999</v>
      </c>
      <c r="M567" s="9">
        <f t="shared" si="8"/>
        <v>235433.60000000001</v>
      </c>
      <c r="N567" s="5" t="s">
        <v>47</v>
      </c>
    </row>
    <row r="568" spans="1:14">
      <c r="A568" s="3" t="s">
        <v>27</v>
      </c>
      <c r="B568" s="4">
        <v>3387</v>
      </c>
      <c r="C568" s="5" t="s">
        <v>843</v>
      </c>
      <c r="D568" s="5" t="s">
        <v>1403</v>
      </c>
      <c r="E568" s="5" t="s">
        <v>1404</v>
      </c>
      <c r="F568" s="6">
        <v>44438</v>
      </c>
      <c r="G568" s="5"/>
      <c r="H568" s="5" t="s">
        <v>176</v>
      </c>
      <c r="I568" s="5" t="s">
        <v>177</v>
      </c>
      <c r="J568" s="5" t="s">
        <v>33</v>
      </c>
      <c r="K568" s="7">
        <v>115570</v>
      </c>
      <c r="L568" s="8">
        <v>20802.599999999999</v>
      </c>
      <c r="M568" s="9">
        <f t="shared" si="8"/>
        <v>136372.6</v>
      </c>
      <c r="N568" s="5" t="s">
        <v>34</v>
      </c>
    </row>
    <row r="569" spans="1:14">
      <c r="A569" s="3" t="s">
        <v>27</v>
      </c>
      <c r="B569" s="4">
        <v>19484</v>
      </c>
      <c r="C569" s="5" t="s">
        <v>595</v>
      </c>
      <c r="D569" s="5" t="s">
        <v>1405</v>
      </c>
      <c r="E569" s="5" t="s">
        <v>1406</v>
      </c>
      <c r="F569" s="6">
        <v>44439</v>
      </c>
      <c r="G569" s="5"/>
      <c r="H569" s="5" t="s">
        <v>411</v>
      </c>
      <c r="I569" s="5" t="s">
        <v>177</v>
      </c>
      <c r="J569" s="5" t="s">
        <v>33</v>
      </c>
      <c r="K569" s="7">
        <v>116640</v>
      </c>
      <c r="L569" s="8">
        <v>29451.08</v>
      </c>
      <c r="M569" s="9">
        <f t="shared" si="8"/>
        <v>146091.08000000002</v>
      </c>
      <c r="N569" s="5" t="s">
        <v>671</v>
      </c>
    </row>
    <row r="570" spans="1:14">
      <c r="A570" s="3" t="s">
        <v>27</v>
      </c>
      <c r="B570" s="4">
        <v>15115</v>
      </c>
      <c r="C570" s="5" t="s">
        <v>303</v>
      </c>
      <c r="D570" s="5" t="s">
        <v>1407</v>
      </c>
      <c r="E570" s="5" t="s">
        <v>1408</v>
      </c>
      <c r="F570" s="6">
        <v>44440</v>
      </c>
      <c r="G570" s="5"/>
      <c r="H570" s="5" t="s">
        <v>923</v>
      </c>
      <c r="I570" s="5" t="s">
        <v>177</v>
      </c>
      <c r="J570" s="5" t="s">
        <v>33</v>
      </c>
      <c r="K570" s="7">
        <v>29466.05</v>
      </c>
      <c r="L570" s="8">
        <v>5303.88</v>
      </c>
      <c r="M570" s="9">
        <f t="shared" si="8"/>
        <v>34769.93</v>
      </c>
      <c r="N570" s="5" t="s">
        <v>47</v>
      </c>
    </row>
    <row r="571" spans="1:14">
      <c r="A571" s="3" t="s">
        <v>27</v>
      </c>
      <c r="B571" s="4">
        <v>3386</v>
      </c>
      <c r="C571" s="5" t="s">
        <v>1075</v>
      </c>
      <c r="D571" s="5" t="s">
        <v>1409</v>
      </c>
      <c r="E571" s="5" t="s">
        <v>1410</v>
      </c>
      <c r="F571" s="6">
        <v>44441</v>
      </c>
      <c r="G571" s="5"/>
      <c r="H571" s="5" t="s">
        <v>411</v>
      </c>
      <c r="I571" s="5" t="s">
        <v>177</v>
      </c>
      <c r="J571" s="5" t="s">
        <v>33</v>
      </c>
      <c r="K571" s="7">
        <v>7950</v>
      </c>
      <c r="L571" s="8">
        <v>1431</v>
      </c>
      <c r="M571" s="9">
        <f t="shared" si="8"/>
        <v>9381</v>
      </c>
      <c r="N571" s="5" t="s">
        <v>34</v>
      </c>
    </row>
    <row r="572" spans="1:14">
      <c r="A572" s="3" t="s">
        <v>27</v>
      </c>
      <c r="B572" s="4">
        <v>20566</v>
      </c>
      <c r="C572" s="5" t="s">
        <v>1411</v>
      </c>
      <c r="D572" s="5" t="s">
        <v>1412</v>
      </c>
      <c r="E572" s="5" t="s">
        <v>1413</v>
      </c>
      <c r="F572" s="6">
        <v>40623</v>
      </c>
      <c r="G572" s="5"/>
      <c r="H572" s="5" t="s">
        <v>110</v>
      </c>
      <c r="I572" s="5" t="s">
        <v>111</v>
      </c>
      <c r="J572" s="5" t="s">
        <v>33</v>
      </c>
      <c r="K572" s="7">
        <v>1792560</v>
      </c>
      <c r="L572" s="8">
        <v>322660.8</v>
      </c>
      <c r="M572" s="9">
        <f t="shared" si="8"/>
        <v>2115220.7999999998</v>
      </c>
      <c r="N572" s="5" t="s">
        <v>47</v>
      </c>
    </row>
    <row r="573" spans="1:14">
      <c r="A573" s="3" t="s">
        <v>27</v>
      </c>
      <c r="B573" s="4">
        <v>1099</v>
      </c>
      <c r="C573" s="5" t="s">
        <v>1414</v>
      </c>
      <c r="D573" s="5" t="s">
        <v>1415</v>
      </c>
      <c r="E573" s="5" t="s">
        <v>1416</v>
      </c>
      <c r="F573" s="6">
        <v>41001</v>
      </c>
      <c r="G573" s="5"/>
      <c r="H573" s="5" t="s">
        <v>1417</v>
      </c>
      <c r="I573" s="5" t="s">
        <v>1418</v>
      </c>
      <c r="J573" s="5" t="s">
        <v>33</v>
      </c>
      <c r="K573" s="7">
        <v>3842240</v>
      </c>
      <c r="L573" s="10"/>
      <c r="M573" s="9">
        <f t="shared" si="8"/>
        <v>3842240</v>
      </c>
      <c r="N573" s="5" t="s">
        <v>47</v>
      </c>
    </row>
    <row r="574" spans="1:14">
      <c r="A574" s="3" t="s">
        <v>27</v>
      </c>
      <c r="B574" s="4">
        <v>3949</v>
      </c>
      <c r="C574" s="5" t="s">
        <v>74</v>
      </c>
      <c r="D574" s="5" t="s">
        <v>1419</v>
      </c>
      <c r="E574" s="5" t="s">
        <v>76</v>
      </c>
      <c r="F574" s="6">
        <v>41106</v>
      </c>
      <c r="G574" s="5"/>
      <c r="H574" s="5" t="s">
        <v>51</v>
      </c>
      <c r="I574" s="5" t="s">
        <v>52</v>
      </c>
      <c r="J574" s="5" t="s">
        <v>33</v>
      </c>
      <c r="K574" s="7">
        <v>858221975.39999998</v>
      </c>
      <c r="L574" s="10"/>
      <c r="M574" s="9">
        <f t="shared" si="8"/>
        <v>858221975.39999998</v>
      </c>
      <c r="N574" s="5" t="s">
        <v>47</v>
      </c>
    </row>
    <row r="575" spans="1:14">
      <c r="A575" s="3" t="s">
        <v>27</v>
      </c>
      <c r="B575" s="4">
        <v>21614</v>
      </c>
      <c r="C575" s="5" t="s">
        <v>54</v>
      </c>
      <c r="D575" s="5" t="s">
        <v>1420</v>
      </c>
      <c r="E575" s="5" t="s">
        <v>56</v>
      </c>
      <c r="F575" s="6">
        <v>41109</v>
      </c>
      <c r="G575" s="5"/>
      <c r="H575" s="5" t="s">
        <v>51</v>
      </c>
      <c r="I575" s="5" t="s">
        <v>52</v>
      </c>
      <c r="J575" s="5" t="s">
        <v>33</v>
      </c>
      <c r="K575" s="7">
        <v>816593401</v>
      </c>
      <c r="L575" s="10"/>
      <c r="M575" s="9">
        <f t="shared" si="8"/>
        <v>816593401</v>
      </c>
      <c r="N575" s="5" t="s">
        <v>57</v>
      </c>
    </row>
    <row r="576" spans="1:14">
      <c r="A576" s="3" t="s">
        <v>27</v>
      </c>
      <c r="B576" s="4">
        <v>21713</v>
      </c>
      <c r="C576" s="5" t="s">
        <v>1421</v>
      </c>
      <c r="D576" s="5" t="s">
        <v>1422</v>
      </c>
      <c r="E576" s="5" t="s">
        <v>1423</v>
      </c>
      <c r="F576" s="6">
        <v>41141</v>
      </c>
      <c r="G576" s="5"/>
      <c r="H576" s="5" t="s">
        <v>1417</v>
      </c>
      <c r="I576" s="5" t="s">
        <v>1418</v>
      </c>
      <c r="J576" s="5" t="s">
        <v>33</v>
      </c>
      <c r="K576" s="7">
        <v>240000</v>
      </c>
      <c r="L576" s="10"/>
      <c r="M576" s="9">
        <f t="shared" si="8"/>
        <v>240000</v>
      </c>
      <c r="N576" s="5" t="s">
        <v>47</v>
      </c>
    </row>
    <row r="577" spans="1:14">
      <c r="A577" s="3" t="s">
        <v>27</v>
      </c>
      <c r="B577" s="4">
        <v>21713</v>
      </c>
      <c r="C577" s="5" t="s">
        <v>1421</v>
      </c>
      <c r="D577" s="5" t="s">
        <v>1424</v>
      </c>
      <c r="E577" s="5" t="s">
        <v>1425</v>
      </c>
      <c r="F577" s="6">
        <v>41157</v>
      </c>
      <c r="G577" s="5"/>
      <c r="H577" s="5" t="s">
        <v>1417</v>
      </c>
      <c r="I577" s="5" t="s">
        <v>1418</v>
      </c>
      <c r="J577" s="5" t="s">
        <v>33</v>
      </c>
      <c r="K577" s="7">
        <v>350000</v>
      </c>
      <c r="L577" s="10"/>
      <c r="M577" s="9">
        <f t="shared" si="8"/>
        <v>350000</v>
      </c>
      <c r="N577" s="5" t="s">
        <v>47</v>
      </c>
    </row>
    <row r="578" spans="1:14">
      <c r="A578" s="3" t="s">
        <v>27</v>
      </c>
      <c r="B578" s="4">
        <v>3286</v>
      </c>
      <c r="C578" s="5" t="s">
        <v>640</v>
      </c>
      <c r="D578" s="5" t="s">
        <v>1426</v>
      </c>
      <c r="E578" s="5" t="s">
        <v>1427</v>
      </c>
      <c r="F578" s="6">
        <v>41219</v>
      </c>
      <c r="G578" s="5"/>
      <c r="H578" s="5" t="s">
        <v>1428</v>
      </c>
      <c r="I578" s="5" t="s">
        <v>1429</v>
      </c>
      <c r="J578" s="5" t="s">
        <v>33</v>
      </c>
      <c r="K578" s="7">
        <v>234000</v>
      </c>
      <c r="L578" s="10"/>
      <c r="M578" s="9">
        <f t="shared" ref="M578:M594" si="9">+K578+L578</f>
        <v>234000</v>
      </c>
      <c r="N578" s="5" t="s">
        <v>57</v>
      </c>
    </row>
    <row r="579" spans="1:14">
      <c r="A579" s="3" t="s">
        <v>27</v>
      </c>
      <c r="B579" s="4">
        <v>3286</v>
      </c>
      <c r="C579" s="5" t="s">
        <v>640</v>
      </c>
      <c r="D579" s="5" t="s">
        <v>1430</v>
      </c>
      <c r="E579" s="5" t="s">
        <v>1431</v>
      </c>
      <c r="F579" s="6">
        <v>41220</v>
      </c>
      <c r="G579" s="5"/>
      <c r="H579" s="5" t="s">
        <v>1428</v>
      </c>
      <c r="I579" s="5" t="s">
        <v>1429</v>
      </c>
      <c r="J579" s="5" t="s">
        <v>33</v>
      </c>
      <c r="K579" s="7">
        <v>2429910</v>
      </c>
      <c r="L579" s="10"/>
      <c r="M579" s="9">
        <f t="shared" si="9"/>
        <v>2429910</v>
      </c>
      <c r="N579" s="5" t="s">
        <v>47</v>
      </c>
    </row>
    <row r="580" spans="1:14">
      <c r="A580" s="3" t="s">
        <v>27</v>
      </c>
      <c r="B580" s="4">
        <v>3286</v>
      </c>
      <c r="C580" s="5" t="s">
        <v>640</v>
      </c>
      <c r="D580" s="5" t="s">
        <v>1432</v>
      </c>
      <c r="E580" s="5" t="s">
        <v>1433</v>
      </c>
      <c r="F580" s="6">
        <v>41261</v>
      </c>
      <c r="G580" s="5"/>
      <c r="H580" s="5" t="s">
        <v>1417</v>
      </c>
      <c r="I580" s="5" t="s">
        <v>1418</v>
      </c>
      <c r="J580" s="5" t="s">
        <v>33</v>
      </c>
      <c r="K580" s="7">
        <v>447980</v>
      </c>
      <c r="L580" s="10"/>
      <c r="M580" s="9">
        <f t="shared" si="9"/>
        <v>447980</v>
      </c>
      <c r="N580" s="5" t="s">
        <v>47</v>
      </c>
    </row>
    <row r="581" spans="1:14">
      <c r="A581" s="3" t="s">
        <v>27</v>
      </c>
      <c r="B581" s="4">
        <v>3547</v>
      </c>
      <c r="C581" s="5" t="s">
        <v>840</v>
      </c>
      <c r="D581" s="5" t="s">
        <v>1434</v>
      </c>
      <c r="E581" s="5" t="s">
        <v>1435</v>
      </c>
      <c r="F581" s="6">
        <v>41270</v>
      </c>
      <c r="G581" s="5"/>
      <c r="H581" s="5" t="s">
        <v>1436</v>
      </c>
      <c r="I581" s="5" t="s">
        <v>1437</v>
      </c>
      <c r="J581" s="5" t="s">
        <v>33</v>
      </c>
      <c r="K581" s="7">
        <v>15100</v>
      </c>
      <c r="L581" s="10"/>
      <c r="M581" s="9">
        <f t="shared" si="9"/>
        <v>15100</v>
      </c>
      <c r="N581" s="5" t="s">
        <v>53</v>
      </c>
    </row>
    <row r="582" spans="1:14">
      <c r="A582" s="3" t="s">
        <v>27</v>
      </c>
      <c r="B582" s="4">
        <v>12663</v>
      </c>
      <c r="C582" s="5" t="s">
        <v>1438</v>
      </c>
      <c r="D582" s="5" t="s">
        <v>1439</v>
      </c>
      <c r="E582" s="5" t="s">
        <v>1440</v>
      </c>
      <c r="F582" s="6">
        <v>41309</v>
      </c>
      <c r="G582" s="5"/>
      <c r="H582" s="5" t="s">
        <v>1441</v>
      </c>
      <c r="I582" s="11" t="s">
        <v>45</v>
      </c>
      <c r="J582" s="5" t="s">
        <v>33</v>
      </c>
      <c r="K582" s="7">
        <v>998446</v>
      </c>
      <c r="L582" s="10"/>
      <c r="M582" s="9">
        <f t="shared" si="9"/>
        <v>998446</v>
      </c>
      <c r="N582" s="5" t="s">
        <v>79</v>
      </c>
    </row>
    <row r="583" spans="1:14">
      <c r="A583" s="3" t="s">
        <v>27</v>
      </c>
      <c r="B583" s="4">
        <v>21181</v>
      </c>
      <c r="C583" s="5" t="s">
        <v>1366</v>
      </c>
      <c r="D583" s="5" t="s">
        <v>1442</v>
      </c>
      <c r="E583" s="5" t="s">
        <v>1443</v>
      </c>
      <c r="F583" s="6">
        <v>41335</v>
      </c>
      <c r="G583" s="5"/>
      <c r="H583" s="5" t="s">
        <v>51</v>
      </c>
      <c r="I583" s="5" t="s">
        <v>52</v>
      </c>
      <c r="J583" s="5" t="s">
        <v>33</v>
      </c>
      <c r="K583" s="7">
        <v>1768500</v>
      </c>
      <c r="L583" s="10"/>
      <c r="M583" s="9">
        <f t="shared" si="9"/>
        <v>1768500</v>
      </c>
      <c r="N583" s="5" t="s">
        <v>53</v>
      </c>
    </row>
    <row r="584" spans="1:14">
      <c r="A584" s="3" t="s">
        <v>27</v>
      </c>
      <c r="B584" s="4">
        <v>22697</v>
      </c>
      <c r="C584" s="5" t="s">
        <v>992</v>
      </c>
      <c r="D584" s="5" t="s">
        <v>1444</v>
      </c>
      <c r="E584" s="5" t="s">
        <v>1445</v>
      </c>
      <c r="F584" s="6">
        <v>41656</v>
      </c>
      <c r="G584" s="5"/>
      <c r="H584" s="5" t="s">
        <v>51</v>
      </c>
      <c r="I584" s="5" t="s">
        <v>52</v>
      </c>
      <c r="J584" s="5" t="s">
        <v>33</v>
      </c>
      <c r="K584" s="7">
        <v>96723307</v>
      </c>
      <c r="L584" s="8">
        <v>955783.65</v>
      </c>
      <c r="M584" s="9">
        <f t="shared" si="9"/>
        <v>97679090.650000006</v>
      </c>
      <c r="N584" s="5" t="s">
        <v>57</v>
      </c>
    </row>
    <row r="585" spans="1:14">
      <c r="A585" s="3" t="s">
        <v>27</v>
      </c>
      <c r="B585" s="4">
        <v>3906</v>
      </c>
      <c r="C585" s="5" t="s">
        <v>48</v>
      </c>
      <c r="D585" s="5" t="s">
        <v>1446</v>
      </c>
      <c r="E585" s="5" t="s">
        <v>1447</v>
      </c>
      <c r="F585" s="6">
        <v>41683</v>
      </c>
      <c r="G585" s="5"/>
      <c r="H585" s="5" t="s">
        <v>51</v>
      </c>
      <c r="I585" s="5" t="s">
        <v>52</v>
      </c>
      <c r="J585" s="5" t="s">
        <v>33</v>
      </c>
      <c r="K585" s="7">
        <v>1680000</v>
      </c>
      <c r="L585" s="8">
        <v>428400</v>
      </c>
      <c r="M585" s="9">
        <f t="shared" si="9"/>
        <v>2108400</v>
      </c>
      <c r="N585" s="5" t="s">
        <v>53</v>
      </c>
    </row>
    <row r="586" spans="1:14">
      <c r="A586" s="3" t="s">
        <v>27</v>
      </c>
      <c r="B586" s="4">
        <v>3906</v>
      </c>
      <c r="C586" s="5" t="s">
        <v>48</v>
      </c>
      <c r="D586" s="5" t="s">
        <v>1448</v>
      </c>
      <c r="E586" s="5" t="s">
        <v>1449</v>
      </c>
      <c r="F586" s="6">
        <v>41692</v>
      </c>
      <c r="G586" s="5"/>
      <c r="H586" s="5" t="s">
        <v>51</v>
      </c>
      <c r="I586" s="5" t="s">
        <v>52</v>
      </c>
      <c r="J586" s="5" t="s">
        <v>33</v>
      </c>
      <c r="K586" s="7">
        <v>1018750</v>
      </c>
      <c r="L586" s="10"/>
      <c r="M586" s="9">
        <f t="shared" si="9"/>
        <v>1018750</v>
      </c>
      <c r="N586" s="5" t="s">
        <v>53</v>
      </c>
    </row>
    <row r="587" spans="1:14">
      <c r="A587" s="3" t="s">
        <v>27</v>
      </c>
      <c r="B587" s="4">
        <v>20566</v>
      </c>
      <c r="C587" s="5" t="s">
        <v>1411</v>
      </c>
      <c r="D587" s="5" t="s">
        <v>1450</v>
      </c>
      <c r="E587" s="5" t="s">
        <v>1451</v>
      </c>
      <c r="F587" s="6">
        <v>41739</v>
      </c>
      <c r="G587" s="5"/>
      <c r="H587" s="5" t="s">
        <v>110</v>
      </c>
      <c r="I587" s="5" t="s">
        <v>111</v>
      </c>
      <c r="J587" s="5" t="s">
        <v>33</v>
      </c>
      <c r="K587" s="7">
        <v>886063.5</v>
      </c>
      <c r="L587" s="8">
        <v>159491.43</v>
      </c>
      <c r="M587" s="9">
        <f t="shared" si="9"/>
        <v>1045554.9299999999</v>
      </c>
      <c r="N587" s="5" t="s">
        <v>47</v>
      </c>
    </row>
    <row r="588" spans="1:14">
      <c r="A588" s="3" t="s">
        <v>27</v>
      </c>
      <c r="B588" s="4">
        <v>3906</v>
      </c>
      <c r="C588" s="5" t="s">
        <v>48</v>
      </c>
      <c r="D588" s="5" t="s">
        <v>1452</v>
      </c>
      <c r="E588" s="5" t="s">
        <v>1453</v>
      </c>
      <c r="F588" s="6">
        <v>41767</v>
      </c>
      <c r="G588" s="5"/>
      <c r="H588" s="5" t="s">
        <v>51</v>
      </c>
      <c r="I588" s="5" t="s">
        <v>52</v>
      </c>
      <c r="J588" s="5" t="s">
        <v>33</v>
      </c>
      <c r="K588" s="7">
        <v>193000</v>
      </c>
      <c r="L588" s="10"/>
      <c r="M588" s="9">
        <f t="shared" si="9"/>
        <v>193000</v>
      </c>
      <c r="N588" s="5" t="s">
        <v>53</v>
      </c>
    </row>
    <row r="589" spans="1:14">
      <c r="A589" s="3" t="s">
        <v>27</v>
      </c>
      <c r="B589" s="4">
        <v>2999</v>
      </c>
      <c r="C589" s="5" t="s">
        <v>1454</v>
      </c>
      <c r="D589" s="5" t="s">
        <v>1455</v>
      </c>
      <c r="E589" s="5" t="s">
        <v>1456</v>
      </c>
      <c r="F589" s="6">
        <v>42060</v>
      </c>
      <c r="G589" s="5"/>
      <c r="H589" s="5" t="s">
        <v>164</v>
      </c>
      <c r="I589" s="5" t="s">
        <v>165</v>
      </c>
      <c r="J589" s="5" t="s">
        <v>33</v>
      </c>
      <c r="K589" s="7">
        <v>230000</v>
      </c>
      <c r="L589" s="8">
        <v>7245</v>
      </c>
      <c r="M589" s="9">
        <f t="shared" si="9"/>
        <v>237245</v>
      </c>
      <c r="N589" s="5" t="s">
        <v>47</v>
      </c>
    </row>
    <row r="590" spans="1:14">
      <c r="A590" s="3" t="s">
        <v>27</v>
      </c>
      <c r="B590" s="4">
        <v>23676</v>
      </c>
      <c r="C590" s="5" t="s">
        <v>1457</v>
      </c>
      <c r="D590" s="5" t="s">
        <v>1458</v>
      </c>
      <c r="E590" s="5" t="s">
        <v>1459</v>
      </c>
      <c r="F590" s="6">
        <v>42163</v>
      </c>
      <c r="G590" s="5"/>
      <c r="H590" s="5" t="s">
        <v>1460</v>
      </c>
      <c r="I590" s="5" t="s">
        <v>52</v>
      </c>
      <c r="J590" s="5" t="s">
        <v>33</v>
      </c>
      <c r="K590" s="7">
        <v>2768844</v>
      </c>
      <c r="L590" s="8">
        <v>498391.92</v>
      </c>
      <c r="M590" s="9">
        <f t="shared" si="9"/>
        <v>3267235.92</v>
      </c>
      <c r="N590" s="5" t="s">
        <v>47</v>
      </c>
    </row>
    <row r="591" spans="1:14">
      <c r="A591" s="3" t="s">
        <v>27</v>
      </c>
      <c r="B591" s="4">
        <v>22697</v>
      </c>
      <c r="C591" s="5" t="s">
        <v>992</v>
      </c>
      <c r="D591" s="5" t="s">
        <v>1461</v>
      </c>
      <c r="E591" s="5" t="s">
        <v>210</v>
      </c>
      <c r="F591" s="6">
        <v>42291</v>
      </c>
      <c r="G591" s="5"/>
      <c r="H591" s="5" t="s">
        <v>51</v>
      </c>
      <c r="I591" s="5" t="s">
        <v>52</v>
      </c>
      <c r="J591" s="5" t="s">
        <v>33</v>
      </c>
      <c r="K591" s="7">
        <v>47043186</v>
      </c>
      <c r="L591" s="8">
        <v>453131</v>
      </c>
      <c r="M591" s="9">
        <f t="shared" si="9"/>
        <v>47496317</v>
      </c>
      <c r="N591" s="5" t="s">
        <v>57</v>
      </c>
    </row>
    <row r="592" spans="1:14">
      <c r="A592" s="3" t="s">
        <v>27</v>
      </c>
      <c r="B592" s="4">
        <v>23676</v>
      </c>
      <c r="C592" s="5" t="s">
        <v>1457</v>
      </c>
      <c r="D592" s="5" t="s">
        <v>1462</v>
      </c>
      <c r="E592" s="11" t="s">
        <v>1467</v>
      </c>
      <c r="F592" s="6">
        <v>42405</v>
      </c>
      <c r="G592" s="5"/>
      <c r="H592" s="5" t="s">
        <v>730</v>
      </c>
      <c r="I592" s="5" t="s">
        <v>177</v>
      </c>
      <c r="J592" s="5" t="s">
        <v>33</v>
      </c>
      <c r="K592" s="7">
        <v>1768495</v>
      </c>
      <c r="L592" s="10"/>
      <c r="M592" s="9">
        <f t="shared" si="9"/>
        <v>1768495</v>
      </c>
      <c r="N592" s="5" t="s">
        <v>47</v>
      </c>
    </row>
    <row r="593" spans="1:14">
      <c r="A593" s="3" t="s">
        <v>27</v>
      </c>
      <c r="B593" s="4">
        <v>3906</v>
      </c>
      <c r="C593" s="5" t="s">
        <v>48</v>
      </c>
      <c r="D593" s="5" t="s">
        <v>1463</v>
      </c>
      <c r="E593" s="5" t="s">
        <v>1464</v>
      </c>
      <c r="F593" s="6">
        <v>42406</v>
      </c>
      <c r="G593" s="5"/>
      <c r="H593" s="5" t="s">
        <v>110</v>
      </c>
      <c r="I593" s="5" t="s">
        <v>111</v>
      </c>
      <c r="J593" s="5" t="s">
        <v>33</v>
      </c>
      <c r="K593" s="7">
        <v>1656250</v>
      </c>
      <c r="L593" s="10"/>
      <c r="M593" s="9">
        <f t="shared" si="9"/>
        <v>1656250</v>
      </c>
      <c r="N593" s="5" t="s">
        <v>47</v>
      </c>
    </row>
    <row r="594" spans="1:14">
      <c r="A594" s="3" t="s">
        <v>27</v>
      </c>
      <c r="B594" s="4">
        <v>1006</v>
      </c>
      <c r="C594" s="5" t="s">
        <v>41</v>
      </c>
      <c r="D594" s="5" t="s">
        <v>1465</v>
      </c>
      <c r="E594" s="5" t="s">
        <v>1466</v>
      </c>
      <c r="F594" s="6">
        <v>39766</v>
      </c>
      <c r="G594" s="5"/>
      <c r="H594" s="5" t="s">
        <v>44</v>
      </c>
      <c r="I594" s="11" t="s">
        <v>45</v>
      </c>
      <c r="J594" s="5" t="s">
        <v>33</v>
      </c>
      <c r="K594" s="7">
        <v>3714504.5</v>
      </c>
      <c r="L594" s="10"/>
      <c r="M594" s="9">
        <f t="shared" si="9"/>
        <v>3714504.5</v>
      </c>
      <c r="N594" s="5" t="s">
        <v>47</v>
      </c>
    </row>
  </sheetData>
  <autoFilter ref="A1:AA59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2021-11-15T11:05:42Z</dcterms:modified>
</cp:coreProperties>
</file>