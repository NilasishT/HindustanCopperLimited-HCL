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Sheet1!$A$1:$AA$594</definedName>
  </definedNames>
  <calcPr calcId="124519"/>
</workbook>
</file>

<file path=xl/calcChain.xml><?xml version="1.0" encoding="utf-8"?>
<calcChain xmlns="http://schemas.openxmlformats.org/spreadsheetml/2006/main">
  <c r="M359" i="1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</calcChain>
</file>

<file path=xl/sharedStrings.xml><?xml version="1.0" encoding="utf-8"?>
<sst xmlns="http://schemas.openxmlformats.org/spreadsheetml/2006/main" count="4107" uniqueCount="1348">
  <si>
    <t>UNIT</t>
  </si>
  <si>
    <t>Vendor Code</t>
  </si>
  <si>
    <t>Vendor GST No</t>
  </si>
  <si>
    <t>Contract No</t>
  </si>
  <si>
    <t>Contract Description</t>
  </si>
  <si>
    <t>Contract Start Date</t>
  </si>
  <si>
    <t>Contract End Date</t>
  </si>
  <si>
    <t>Engineer In Charge</t>
  </si>
  <si>
    <t>Department</t>
  </si>
  <si>
    <t>Section</t>
  </si>
  <si>
    <t>Basic Amount</t>
  </si>
  <si>
    <t>Tax Amount</t>
  </si>
  <si>
    <t>Total Value</t>
  </si>
  <si>
    <t>Payment Terms</t>
  </si>
  <si>
    <t>ExtendDate-1</t>
  </si>
  <si>
    <t>ExtendDate-2</t>
  </si>
  <si>
    <t>ExtendDate-3</t>
  </si>
  <si>
    <t>ExtendDate-4</t>
  </si>
  <si>
    <t>ExtendDate-5</t>
  </si>
  <si>
    <t>BG Amount</t>
  </si>
  <si>
    <t>BG Start Date</t>
  </si>
  <si>
    <t>BG End date</t>
  </si>
  <si>
    <t>BG extension Date-1</t>
  </si>
  <si>
    <t>BG extension Date-2</t>
  </si>
  <si>
    <t>BG extension Date-3</t>
  </si>
  <si>
    <t>BG extension Date-4</t>
  </si>
  <si>
    <t>BG extension Date-5</t>
  </si>
  <si>
    <t>CREDIT PAYMENT_30 DAYS</t>
  </si>
  <si>
    <t>Monthly RA Bill (within 30 days after submission)</t>
  </si>
  <si>
    <t>CREDIT PAYM_30 DAYS_RCPT_ACP</t>
  </si>
  <si>
    <t>Immediate</t>
  </si>
  <si>
    <t>Mrs. Charusheela Bhonsle</t>
  </si>
  <si>
    <t>MONTHLY R.A BILL  IMMEDIATE AFTER RECEIPT</t>
  </si>
  <si>
    <t>Mr. Abhishek Pareek</t>
  </si>
  <si>
    <t>HCL KCC Materials</t>
  </si>
  <si>
    <t>Payment against delivery</t>
  </si>
  <si>
    <t>08ADNPR4334E1ZE</t>
  </si>
  <si>
    <t>13509</t>
  </si>
  <si>
    <t>30 days Credit</t>
  </si>
  <si>
    <t>CREDIT PAYMENT_45DAYS</t>
  </si>
  <si>
    <t>100% ADVANCE against P.I.</t>
  </si>
  <si>
    <t>PAYMENT THROUGH BANK DOCUMENT</t>
  </si>
  <si>
    <t>15012</t>
  </si>
  <si>
    <t>20AACCS7786C1ZH</t>
  </si>
  <si>
    <t>20AAZCS9825R1Z7</t>
  </si>
  <si>
    <t>08AAACB7092E1ZR</t>
  </si>
  <si>
    <t>08AOUPS1944P1ZU</t>
  </si>
  <si>
    <t>19AAICK3351P1ZY</t>
  </si>
  <si>
    <t>08AACCS2042K1ZF</t>
  </si>
  <si>
    <t>33AAGPE0990H1ZZ</t>
  </si>
  <si>
    <t>19AABCG1661M1ZE</t>
  </si>
  <si>
    <t>19AACFN4996L1ZI</t>
  </si>
  <si>
    <t>19AAAJI0323G1ZM</t>
  </si>
  <si>
    <t>21ABKPC9470F1ZV</t>
  </si>
  <si>
    <t>Khetri Copper Complex</t>
  </si>
  <si>
    <t>08AAECH9996H1ZU</t>
  </si>
  <si>
    <t>08AAPPT1105Q1Z4</t>
  </si>
  <si>
    <t>08AAQFP9645J1ZD</t>
  </si>
  <si>
    <t>08AASPG5103C1Z1</t>
  </si>
  <si>
    <t>08AAUPM4248E1ZD</t>
  </si>
  <si>
    <t>08ABGFS4261G1Z3</t>
  </si>
  <si>
    <t>08ABIPY7446F1Z3</t>
  </si>
  <si>
    <t>08ACHPS5152Q1ZU</t>
  </si>
  <si>
    <t>08ACNPS0087J1Z2</t>
  </si>
  <si>
    <t>08ADDPS7602L1Z7</t>
  </si>
  <si>
    <t>08ADHPA0521G1Z8</t>
  </si>
  <si>
    <t>08ADMPV9111G1Z6</t>
  </si>
  <si>
    <t>08ADXPR8123R1ZA</t>
  </si>
  <si>
    <t>08AEMPS2434N2ZV</t>
  </si>
  <si>
    <t>08AEPPG9736A</t>
  </si>
  <si>
    <t>08AEPPS4743F2Z1</t>
  </si>
  <si>
    <t>08AESPA1538H1ZI</t>
  </si>
  <si>
    <t>08AFCPS0554E1ZM</t>
  </si>
  <si>
    <t>08AGGPM2765E1ZD</t>
  </si>
  <si>
    <t>08AGIPJ4705D1ZO</t>
  </si>
  <si>
    <t>08AGKPJ5655Q1ZK</t>
  </si>
  <si>
    <t>08AGMPS6123N2ZP</t>
  </si>
  <si>
    <t>08AIPPP5683B1ZV</t>
  </si>
  <si>
    <t>08AITPS8297C1ZE</t>
  </si>
  <si>
    <t>08AJXPS0844E1ZR</t>
  </si>
  <si>
    <t>08AMIPG2157N1ZR</t>
  </si>
  <si>
    <t>08AODPS4426B1Z5</t>
  </si>
  <si>
    <t>08AOIPR0874F1ZP</t>
  </si>
  <si>
    <t>08AOPPV5839K2ZV</t>
  </si>
  <si>
    <t>08AZZPS5623H1ZK</t>
  </si>
  <si>
    <t>08ETXPS0538B2Z9</t>
  </si>
  <si>
    <t>09AAACI0120L2ZV</t>
  </si>
  <si>
    <t>09AABFI7214B1ZT</t>
  </si>
  <si>
    <t>09AADCP8306L1Z2</t>
  </si>
  <si>
    <t>09AAGCB0925L1ZK</t>
  </si>
  <si>
    <t>09ACMFS1645M1ZI</t>
  </si>
  <si>
    <t>09AFHPA2994M1Z0</t>
  </si>
  <si>
    <t>09CERPK9554A1Z3</t>
  </si>
  <si>
    <t>10AGSPD4756E1Z4</t>
  </si>
  <si>
    <t>19AAACD8676J3Z1</t>
  </si>
  <si>
    <t>19AABCC7125L1ZH</t>
  </si>
  <si>
    <t>19AABCT2074M1Z0</t>
  </si>
  <si>
    <t>19AACCA1827A1Z8</t>
  </si>
  <si>
    <t>08BAQPK3379F1ZA</t>
  </si>
  <si>
    <t>08BCNPS6623P1ZN</t>
  </si>
  <si>
    <t>08BGAPJ1565L1ZA</t>
  </si>
  <si>
    <t>08BGRPS5976D1ZM</t>
  </si>
  <si>
    <t>08BIBPS0378F1Z7</t>
  </si>
  <si>
    <t>08BJDPS6637Q1ZA</t>
  </si>
  <si>
    <t>08BPBPS2717H2ZT</t>
  </si>
  <si>
    <t>08BWTPS3461B2Z6</t>
  </si>
  <si>
    <t>08BXLPS0556A1ZH</t>
  </si>
  <si>
    <t>08CAQPS7084A1Z9</t>
  </si>
  <si>
    <t>08CIRPM0751R2ZD</t>
  </si>
  <si>
    <t>08CKOPS2218A1Z8</t>
  </si>
  <si>
    <t>08DNDPK3626R2ZE</t>
  </si>
  <si>
    <t>08ESOPS1116K1ZA</t>
  </si>
  <si>
    <t>08AQUPB0812F1Z3</t>
  </si>
  <si>
    <t>08ARFPK4439D1ZW</t>
  </si>
  <si>
    <t>08ASRPS4135P1ZS</t>
  </si>
  <si>
    <t>08AWTPS9987P1ZO</t>
  </si>
  <si>
    <t>08AXVPS1919E1ZZ</t>
  </si>
  <si>
    <t>08AYSPK3278L1ZL</t>
  </si>
  <si>
    <t>08AYYPS0971J2ZG</t>
  </si>
  <si>
    <t>08AZMPK4168J2ZT</t>
  </si>
  <si>
    <t>08AZMPK4168J4ZR</t>
  </si>
  <si>
    <t>05AABFB4328B1Z7</t>
  </si>
  <si>
    <t>06AADFP9917A1ZE</t>
  </si>
  <si>
    <t>06AADFP9918R1ZE</t>
  </si>
  <si>
    <t>06AAECJ2426J1ZO</t>
  </si>
  <si>
    <t>06AAUCA0126E1ZZ</t>
  </si>
  <si>
    <t>06BBPPS8826R1ZE</t>
  </si>
  <si>
    <t>06CWDPS5601Q1Z1</t>
  </si>
  <si>
    <t>07AACCA5633Q1ZC</t>
  </si>
  <si>
    <t>07AACCB4071D1Z4</t>
  </si>
  <si>
    <t>07AADCI6005K1ZN</t>
  </si>
  <si>
    <t>07AADCK6899B1ZA</t>
  </si>
  <si>
    <t>08AAACI1681G2ZO</t>
  </si>
  <si>
    <t>08AAACP9160F1ZE</t>
  </si>
  <si>
    <t>08AAACT6620N1Z2</t>
  </si>
  <si>
    <t>07AADPM6565H2ZH</t>
  </si>
  <si>
    <t>07AAGCD6361E1ZR</t>
  </si>
  <si>
    <t>07AAHCP2642M1Z5</t>
  </si>
  <si>
    <t>07AAJCS3766M1ZP</t>
  </si>
  <si>
    <t>07AAKCA0783B1ZY</t>
  </si>
  <si>
    <t>07AAMPM9034G1ZH</t>
  </si>
  <si>
    <t>08AAACU2709F1ZK</t>
  </si>
  <si>
    <t>08AAAFE4781C1Z0</t>
  </si>
  <si>
    <t>08AAAFT9182G1ZW</t>
  </si>
  <si>
    <t>08AABCI7053B1ZW</t>
  </si>
  <si>
    <t>08AABCM0265B1Z0</t>
  </si>
  <si>
    <t>08AABCM9165C1ZH</t>
  </si>
  <si>
    <t>08AABCP1131F1ZY</t>
  </si>
  <si>
    <t>08AABCR8712J1Z6</t>
  </si>
  <si>
    <t>08AACCF7141G1ZR</t>
  </si>
  <si>
    <t>08AACCS0251N1ZA</t>
  </si>
  <si>
    <t>08AACCS9854P1ZF</t>
  </si>
  <si>
    <t>08AADFS9087N1ZB</t>
  </si>
  <si>
    <t>19AACCA4245Q1Z9</t>
  </si>
  <si>
    <t>19AACCN1737C1ZQ</t>
  </si>
  <si>
    <t>19AADCM5557A1ZK</t>
  </si>
  <si>
    <t>19AADCP3134E1ZO</t>
  </si>
  <si>
    <t>19AADHP1076N1ZQ</t>
  </si>
  <si>
    <t>19AAECM6900A1ZU</t>
  </si>
  <si>
    <t>19AAEFD5312Q1Z4</t>
  </si>
  <si>
    <t>19AAIPW1728R1ZQ</t>
  </si>
  <si>
    <t>19AAKCA2794A1ZO</t>
  </si>
  <si>
    <t>19AALFB8958R1Z7</t>
  </si>
  <si>
    <t>19AANFD7624G1Z5</t>
  </si>
  <si>
    <t>19AASCA5024H1ZH</t>
  </si>
  <si>
    <t>19ADCPR3906K1Z9</t>
  </si>
  <si>
    <t>19ADRPG5678E1Z1</t>
  </si>
  <si>
    <t>19ADXPG9322R1ZF</t>
  </si>
  <si>
    <t>19AFXPK5117J1ZU</t>
  </si>
  <si>
    <t>19ALAPS8170LIZH</t>
  </si>
  <si>
    <t>19ALCPP2557N1ZJ</t>
  </si>
  <si>
    <t>19ALNPD5475E1ZW</t>
  </si>
  <si>
    <t>19ATDPK1996K1Z4</t>
  </si>
  <si>
    <t>19AVFPB8934J1Z9</t>
  </si>
  <si>
    <t>19BSCPS6032B1ZW</t>
  </si>
  <si>
    <t>20AAACU2339M3ZF</t>
  </si>
  <si>
    <t>20AAQFV6430R1ZK</t>
  </si>
  <si>
    <t>20ACLPD4517A1ZH</t>
  </si>
  <si>
    <t>20AQDPS6589B1ZV</t>
  </si>
  <si>
    <t>21AFXPR3808K1ZY</t>
  </si>
  <si>
    <t>22AAFCA7939Q1Z4</t>
  </si>
  <si>
    <t>22AARFS5765M1ZG</t>
  </si>
  <si>
    <t>23AAACD1999C2ZW</t>
  </si>
  <si>
    <t>23AAACI3932N2ZJ</t>
  </si>
  <si>
    <t>23AAACV2809D1ZU</t>
  </si>
  <si>
    <t>23AAPFG2395H1Z7</t>
  </si>
  <si>
    <t>24AAACE4645C1Z5</t>
  </si>
  <si>
    <t>24AAACR8759G1Z5</t>
  </si>
  <si>
    <t>24AADCN0429L1ZK</t>
  </si>
  <si>
    <t>24AAFCB7089L2Z7</t>
  </si>
  <si>
    <t>24AAQPP6172L1Z2</t>
  </si>
  <si>
    <t>24ADYFS8791F1Z6</t>
  </si>
  <si>
    <t>24CENPR8604G1Z7</t>
  </si>
  <si>
    <t>27AAACF4381L1ZE</t>
  </si>
  <si>
    <t>27AAACK2479C1ZP</t>
  </si>
  <si>
    <t>27AAACK4702A1Z7</t>
  </si>
  <si>
    <t>27AAACL1690C1ZT</t>
  </si>
  <si>
    <t>27AAACN2090A1ZZ</t>
  </si>
  <si>
    <t>27AAACP3596M1ZV</t>
  </si>
  <si>
    <t>27AAACP6820G1ZJ</t>
  </si>
  <si>
    <t>27AAAFF0417G1ZY</t>
  </si>
  <si>
    <t>27AABCC3535E1Z1</t>
  </si>
  <si>
    <t>27AADCA3124B1ZE</t>
  </si>
  <si>
    <t>27AADCN3668F1ZC</t>
  </si>
  <si>
    <t>27AADPS0376A1ZZ</t>
  </si>
  <si>
    <t>27AAGPP7622P1Z1</t>
  </si>
  <si>
    <t>27AAICB0828N1ZE</t>
  </si>
  <si>
    <t>27AAQPS6698J1ZI</t>
  </si>
  <si>
    <t>27AATFR5078C1ZS</t>
  </si>
  <si>
    <t>27ABBCS1518A1ZW</t>
  </si>
  <si>
    <t>27ADAPK8823E1ZO</t>
  </si>
  <si>
    <t>27AMGPP7304N1ZL</t>
  </si>
  <si>
    <t>29AACCS5491A1ZD</t>
  </si>
  <si>
    <t>29AJEPS5665C1ZX</t>
  </si>
  <si>
    <t>30AAACH4656E1Z2</t>
  </si>
  <si>
    <t>33AAAPK6898G1ZI</t>
  </si>
  <si>
    <t>33DLBPK3383K1Z0</t>
  </si>
  <si>
    <t>36AABCK8670N1ZX</t>
  </si>
  <si>
    <t>36AABCP2277J1Z9</t>
  </si>
  <si>
    <t>37AAACP4070A1ZW</t>
  </si>
  <si>
    <t>NOTAVAILABLE</t>
  </si>
  <si>
    <t>AMC FOR ABB MAKE DC DRIVE PANEL AND PLC FOR KOPE WINDER</t>
  </si>
  <si>
    <t>12000 mtrs. AX size (Hole Dia. 46.70 mm &amp; Core Dia. 28.50 mm) definition diamond core drilling in underground levels of Khetri Copper Mine of Khetri Copper Complex, Khetri Nagar, Rajasthan</t>
  </si>
  <si>
    <t>12000 mtrs. AX size (Hole Dia. 46.70 mm &amp; Core Dia. 28.50 mm) definition diamond core drilling in underground levels of Kolihan Copper Mine of Khetri Copper Complex, Khetri Nagar, Rajasthan.</t>
  </si>
  <si>
    <t>Annual Maintenance Contract of Computer Systems and Peripherals, Printers, UPSes and LAN in various Departments and Offices of Khetri Copper Complex, Khetri Nagar and Kolihan Copper Mines, Kolihan Nagar.</t>
  </si>
  <si>
    <t>Medicine Items</t>
  </si>
  <si>
    <t>HYDRAULIC PUMP FOR NPK ROCK BREAKER</t>
  </si>
  <si>
    <t>Repairing of Plant Road from Plant Main gate to Stock Pile in plant area at KCC</t>
  </si>
  <si>
    <t>Transportation of Ore- 70% Quantity.</t>
  </si>
  <si>
    <t>A.R.C for Miscellaneous Civil Repair Work of Water Supply Department - 2019-20</t>
  </si>
  <si>
    <t>Fencing Job beside Central Office at KCM plant area</t>
  </si>
  <si>
    <t>Non Medicinal Items</t>
  </si>
  <si>
    <t>Non Medicine items.</t>
  </si>
  <si>
    <t>Outsourcing of Shift maintenance of ore handling system including operation of Crusher and Conveyor at Khetri Mine.</t>
  </si>
  <si>
    <t>ARC for Dismantling, Fabrication &amp; Erection jobs and laying of pipe lines &amp; other jobs in  KCC Mines U/g</t>
  </si>
  <si>
    <t>Contract for outsourcing of the supply, installations, commissioning and operation of the dewatering pumps</t>
  </si>
  <si>
    <t>Contract for outsourcing of the supply, installations, commissioning &amp; operation of the dewatering pumps at (-)60 mRL in service shaft &amp; in main shaft in Khetri underground Mines for a period of one year .</t>
  </si>
  <si>
    <t>Outsourcing of Shift maintenance of ore handling system including operation of Crusher and Conveyor at Khetri Mine for 90 days</t>
  </si>
  <si>
    <t>ANNUAL CONTRACT FOR DISMANTLING, FABRICATION AND ERECTION OF STEEL STRUCTURE, LAYING OF PIPE LINES, ETC. AT KCM, ARW, CIVIL &amp;KCC MINE SURFACE OF KHETRI COPPER COMPLEX.</t>
  </si>
  <si>
    <t>Contract for outsourcing of the supply, installations, commissioning &amp; operation of the dewatering Activities at BGML shaft in Khetri underground Mines for a period of one year</t>
  </si>
  <si>
    <t>ARC FOR STRUCTURAL REPAIR AND SHIFT MAINTENANCE OF AERIAL ROPE WAY.</t>
  </si>
  <si>
    <t>Replacement of Koepe Winder Motor Coupling at Kolihan Mines</t>
  </si>
  <si>
    <t>Contract for Arresting oil leakage and painting of transformers at KCC</t>
  </si>
  <si>
    <t>Anhydrous Porous Lime</t>
  </si>
  <si>
    <t>Annual Rate Contract for Servicing and Maintenance of ACs, Refrigerators and Water Coolers installed at different locations at KCC</t>
  </si>
  <si>
    <t>Whitewashing,distempering etc in newly allotted quarters (All Types) &amp; Other areas of KCC &amp; KCCM Township</t>
  </si>
  <si>
    <t>Cleaning and maintenance of Toilets and Septic Tanks at KCM plant area.</t>
  </si>
  <si>
    <t>Contract for White washing, distempering, painting etc in newly allotted quarters of all types and other areas of KCC and KCM Township</t>
  </si>
  <si>
    <t>Providing and fixing of Sanitary and water supply fittings etc at KCC &amp; KCM Township and KCM Plant area during 2021-22 (ARC)</t>
  </si>
  <si>
    <t>Repair of Breached Check dam (Spillway) in Southern side of Tailing Dam at KCC.</t>
  </si>
  <si>
    <t>Major Civil Repair Work in Kolihan Nagar Township &amp; KCM during 2010-11</t>
  </si>
  <si>
    <t>NDT Testing and Examination of lifting Machines, Pressure Vessels, chain pulley blocks etc at KCC</t>
  </si>
  <si>
    <t>Operation Of pump at lagoon</t>
  </si>
  <si>
    <t>Construction of Civil Structure for Pressurization unit of Concentrator Plant, KCC.</t>
  </si>
  <si>
    <t>Laying of M.S. Pipe Line from Reclaim Water Pond to View Point Tank No. 2 and 3.</t>
  </si>
  <si>
    <t>Outsourcing the job of screening of 15000MT of Copper Concentrate in bedding building.</t>
  </si>
  <si>
    <t>A.R.C. for Refilling &amp; Refurbishing of Toners for the year 2021-2022</t>
  </si>
  <si>
    <t>Annual procurement of 22000 Kgs of SIPX</t>
  </si>
  <si>
    <t>Civil jobs of Apron feeder and Conveyor foundations etc jobs  in Kolihan Copper Mines</t>
  </si>
  <si>
    <t>ARC for repair and maintenance of quarters in khetri nagar township.</t>
  </si>
  <si>
    <t>Cleaning of Sewer lines &amp; related jobs in both KCC &amp; KCM Townships and both Plants.</t>
  </si>
  <si>
    <t>Retrieving and Transportation of spillages, operating materials etc. afterweighment and deployment of JCB</t>
  </si>
  <si>
    <t>TAILING TUNNEL CLEANING AND REMOVAL OF MATERIAL LYING IN THE TAILING PIPELINES OF TUNNEL</t>
  </si>
  <si>
    <t>Repair and replacement of Damaged/broken A.C/GI Sheet in KCC &amp; KCM plant area during the year 2021-22.(A.R.C)</t>
  </si>
  <si>
    <t>A.R.C. for Miscellaneous Civil Repair Work of Water Supply Departement during 2021-2022</t>
  </si>
  <si>
    <t>Ammeters, Energy meters &amp; multi fiunction meters for crushers and Grinding sections</t>
  </si>
  <si>
    <t>SHORT TERM RATE CONTRACT FOR DISMANTLING, FABRICATION AND ERECTION OF STEEL STRUCTURE AND ALLIED JOBS</t>
  </si>
  <si>
    <t>Short Term Rate contract for dismantling, fabrication and erection of steel structure &amp; Allied Jobs and  laying of pipe lines, shifting of materials / equipments, replacement of mill liners etc. in Concentrator Plant</t>
  </si>
  <si>
    <t>BOWL LINER FOR CONE CRUSHER</t>
  </si>
  <si>
    <t>MN- STEEL LINERS FOR ROD MILL</t>
  </si>
  <si>
    <t>Supply of Hi- Chrome Grinding Media Balls (60 mm), the validitity of the PO shall be effective w.e.f. 15.10.2020</t>
  </si>
  <si>
    <t>Sampling &amp; Associated Activities at Kolihan Copper Mine</t>
  </si>
  <si>
    <t>Cleaning of Aeration tank of Sewerage Treatment Plant at KCC</t>
  </si>
  <si>
    <t>CONTRACT FOR DISPOSAL OF GARBAGE, DEAD &amp; INJURED ANIMALS FROM KCC TOWNSHIP, PLANY AND MINES AREA OF KCC</t>
  </si>
  <si>
    <t>White washing/Colour washing/Painting at KCC &amp; KCM plant area during 2020-22</t>
  </si>
  <si>
    <t>DESILTING OF TAILING BED OF CHECK DAM AT KHARKHARA SIDE</t>
  </si>
  <si>
    <t>CIVIL JOBS FOR ROCK BREAKER FOUNDATION AND GRIZZLEY AT NOP AT 64ML IN KOLIHAN MINES</t>
  </si>
  <si>
    <t>Job Contract for Shift Sampling job &amp; Associated Activities</t>
  </si>
  <si>
    <t>Outsourcing the job of screening of 15000MT of Copper Concentrate in bedding building</t>
  </si>
  <si>
    <t>Deployment of JCB in Tailing Dam to divert Tailing Water towards Kharkhara</t>
  </si>
  <si>
    <t>DEPLOYMENT OF JCB IN TAILING DAM TO DIVERT TAILING WATER TOWARDS KHARKHARA</t>
  </si>
  <si>
    <t>OIL PUMP FOR CRUSHER</t>
  </si>
  <si>
    <t>Wire Ropes</t>
  </si>
  <si>
    <t>Polish Winder PLC Spares - KCM</t>
  </si>
  <si>
    <t>OVERLOAD, START STOP STATION, &amp; TPN SWITCHES FOR CONCENTRATOR</t>
  </si>
  <si>
    <t>ROUND FOR CONCENTRATOR PLANT</t>
  </si>
  <si>
    <t>WEAR PLATE FOR P/SHAFT MAINTENANCE- KHETRI MINE</t>
  </si>
  <si>
    <t>ITEMS FOR V.FAN AT KCM</t>
  </si>
  <si>
    <t>MILL &amp; CLUTCH SPARES</t>
  </si>
  <si>
    <t>ARC FOR STURUCTURAL REPAIR &amp; MAINTENANCE OF ARW</t>
  </si>
  <si>
    <t>RUBBER MOULDED SPARES</t>
  </si>
  <si>
    <t>BUCKET BOTTOM FOR 824  LOADER - KHETRI  MINE</t>
  </si>
  <si>
    <t>COMPLETE CYCLONE &amp; RUBBER LINED FEED DRUM</t>
  </si>
  <si>
    <t>Slurry &amp; Emulsion based Explosives.</t>
  </si>
  <si>
    <t>ROD AND BALL MILL PINION</t>
  </si>
  <si>
    <t>Shafts for TRF make TE13 vibrator feeder at KCM</t>
  </si>
  <si>
    <t>TRANSPORTATION OF REVERT FROM KCC TO MUNDRA PORT</t>
  </si>
  <si>
    <t>Appointment of Chartered/Cost Firm for physical verification of Stores &amp; Spares etc.</t>
  </si>
  <si>
    <t>HAND GLOVES</t>
  </si>
  <si>
    <t>M.S. WELDING ELECTRODES</t>
  </si>
  <si>
    <t>CRUSHER SPARES - KHETRI MINE</t>
  </si>
  <si>
    <t>BH-28 GEARBOX</t>
  </si>
  <si>
    <t>Vetting of the proposal for modification of mining method at 0 ML and below levels of Khetri Block of Khetri Copper Mine of Hindustan Copper Limited from track mining to trackless mining.</t>
  </si>
  <si>
    <t>BEARING ADOPTER SLEEVE &amp; PLUMBER BLOCK FOR CONVEYOR BELT</t>
  </si>
  <si>
    <t>HIRING CHARGES OF GENIUS CONSULTANTS (EXECUTIVES)</t>
  </si>
  <si>
    <t>WEAR RESISTANT SCREEN PANNELS</t>
  </si>
  <si>
    <t>WEAR RESISTANT SCREEN PANEL</t>
  </si>
  <si>
    <t>LOCO   SPARES -  KHETRI MINE</t>
  </si>
  <si>
    <t>SPARES FOR GOODMAN LOCO - KCM MECH.</t>
  </si>
  <si>
    <t>OPERATION &amp; MAINTENANCE WORK  OF ELECTRICAL INSTALLATIONS   AT KOLIHAN COPPER  MINE</t>
  </si>
  <si>
    <t>To supply 15 Nos. Electrician of skilled Category (3432 mandays for Under Ground Mines &amp; 1248 mandays for other than underground Mines) in twelve months to undertake the jobs at various locations.</t>
  </si>
  <si>
    <t>PUMP OPERATION AND MAINTENANCE OF KCM</t>
  </si>
  <si>
    <t>Manpower supply at Electrical Section of  Kolihan Copper Mine</t>
  </si>
  <si>
    <t>1050 highly skilled, 2100 skilled and 2100 semi skilled manpower Supply to Concentrator Plant for Mechanical Maintenance.</t>
  </si>
  <si>
    <t>ARC for Dismantling, Fabrication &amp; Erection job at Kolihan Copper Mine Underground</t>
  </si>
  <si>
    <t>Patrolling, Maintenance and laying/dismantling of Track line / pipe line at KCM Surface and Underground</t>
  </si>
  <si>
    <t>ARC for Dismantling, Fabrication &amp; Erection jobs at KCM Underground</t>
  </si>
  <si>
    <t>Contract for Replacement of crusher body, swing jaw shaft, pitman assembly &amp; 1 no. V-groove pulley (flywheel) at KCM U/G</t>
  </si>
  <si>
    <t>Pipeline laying and dismantline job from 0 ml to 184 ml</t>
  </si>
  <si>
    <t>Operation &amp; Shift Maintenance of Rock Breakers at 124ml of KCM Mines Underground</t>
  </si>
  <si>
    <t>OUTSOURCING OF CRITICAL MECHANICAL EQUIPMENT MAINTENANCE OF CRUSHING &amp; HOISTING SYSTEM AT KCM UNDERGROUND MINES- 2021</t>
  </si>
  <si>
    <t>BRONZE   BUSH  FOR SKIP &amp; SKIP LOADING SYSTEM - KHETRI MINE</t>
  </si>
  <si>
    <t>Monitoring of Stack Emission, Ambient Air quality, Dust measurement &amp; Noise Measurement at Khetri Copper Complex on quarterly basis</t>
  </si>
  <si>
    <t>BCH  - Spares  for  Khetri  Mine</t>
  </si>
  <si>
    <t>Supply of 5475 man days in a year  for deployment in shifts for mechanical maintenance of Crushing &amp; Hoisting equipments at Kolihan Underground Mines</t>
  </si>
  <si>
    <t>ARC of rewinding and repair of Electrical Machines in Central Electrical Repair Shop</t>
  </si>
  <si>
    <t>Manpower Supply to Khetri Mines - Electrical Section</t>
  </si>
  <si>
    <t>Providing and fixing of PVC-FRP Sheets in Service Shaft winder &amp; glass Panes in M.G.Set Room at KCC</t>
  </si>
  <si>
    <t>Miscellaneous Civil jobs in Plant &amp; Mines area at KCM</t>
  </si>
  <si>
    <t>Transportation of water from Chandmari open pit to Kolihan water tank</t>
  </si>
  <si>
    <t>Out sourcing of computer related jobs of Materials and Contracts</t>
  </si>
  <si>
    <t>Hiring of Diesel operated 4 wheel drive (Jeep / utility vehicle), 2000 make onward</t>
  </si>
  <si>
    <t>Development, installation, commissioning &amp; successful implementation of DMGR’s ERavanna System at Khetri Copper Complex.</t>
  </si>
  <si>
    <t>.R.C. for daily patrolling of water supply pipeline within a radius of 35 km from KCC during 2021-2022</t>
  </si>
  <si>
    <t>Contract for Operation Valves at Kolihan Nagar Township</t>
  </si>
  <si>
    <t>Contract for Retrieving and Transportation of spillages, operating materials etc  after weighment and deployment of JCB</t>
  </si>
  <si>
    <t>VALVE OPERATION AT KCM</t>
  </si>
  <si>
    <t>Contract for Collection &amp; Preparation of Samples of Copper Concentrate in KCC</t>
  </si>
  <si>
    <t>Valve operation at KCM Township</t>
  </si>
  <si>
    <t>Lifting and Lowering of submersible pump and rewinding of motor within a radius of 35 from KCC</t>
  </si>
  <si>
    <t>To take out stucked submersible pump set from the existing bore well at seepage Tailing Dam and to transport it to Maza House at KCC Plant</t>
  </si>
  <si>
    <t>OPERATION &amp; MAINTENANCE OF VIBRATION FEEDER OF 60 ML AT KHETRI UNDERGROUND MINE</t>
  </si>
  <si>
    <t>STEEL SPARES FOR WARMAN PUMP</t>
  </si>
  <si>
    <t>Annual Maintenance Contract of Agitators and Bowl &amp; Mantle Liner changing of Crushers</t>
  </si>
  <si>
    <t>Annual Maintenance Contract of Agitators and Bowl &amp; Mantle Liner changing of Crushers.</t>
  </si>
  <si>
    <t>Bearings &amp; sleave ( Ventilation Fan ), Bearing for Loco, Loader &amp; Gb car</t>
  </si>
  <si>
    <t>Renovation of Tripper Conveying System for Shifting of Concentrate at Bedding Building of Concentrator Plant, Khetri Copper Complex</t>
  </si>
  <si>
    <t>BIOLOGICAL RICE HUSK</t>
  </si>
  <si>
    <t>Outsourcing of Mechanical Maintenance &amp;Critical Equipments in Kolihan Mines</t>
  </si>
  <si>
    <t>WOODEN WEDGE FOR LONG HOLE BLASTING</t>
  </si>
  <si>
    <t>BEARING, SLEEVE &amp; P/BLOCK FOR 110 INCH DIA. VENTILATION FAN( A / YULE) OF KHETRI MINE</t>
  </si>
  <si>
    <t>Toggle Seat Swivel  for Khetri Mines</t>
  </si>
  <si>
    <t>SWING JAW SHAFT FOR CRUSHER - KHETRI MINE</t>
  </si>
  <si>
    <t>Maintenance Contract of Warman Pumps &amp; Clutches at Concentrator Plant.</t>
  </si>
  <si>
    <t>JOB CONTRACT FOR SAMPLING &amp; ASSOCIATED ACTIVITIES AT KHETRI COPPER MINE, KHETRI COPPR COMPLEX</t>
  </si>
  <si>
    <t>LOADER SPARES - KHETRI MINE</t>
  </si>
  <si>
    <t>Repair &amp; Maintenance of Crushing &amp; Hoisting Equipments (Mechanical) at KCM Mines Underground</t>
  </si>
  <si>
    <t>OUTSOURCING OF STORES RELATED JOBS OF CENTRAL STORES &amp; TRAFFIC SECTION OF KHETRI COPPER COMPLEX</t>
  </si>
  <si>
    <t>Spares For Goodman Loco and 10 ton GB (Shri Anirban Datta)</t>
  </si>
  <si>
    <t>Rollers &amp; idlers for Conveyor Belt</t>
  </si>
  <si>
    <t>Pull Cord Switch for Concentrator Plant Conveyors</t>
  </si>
  <si>
    <t>HT BOLTS</t>
  </si>
  <si>
    <t>ELECTRONIC OVERLOAD RELAY - KCM</t>
  </si>
  <si>
    <t>VACUM PUMP FOR DISC FILTER F-620</t>
  </si>
  <si>
    <t>CHEMICALS</t>
  </si>
  <si>
    <t>Victaulic coupling,Snap coupling,Claw coupling, Spade iron &amp; High Density Polythene Pipe-50 mm Diameter</t>
  </si>
  <si>
    <t>BOLTS WITH NUT</t>
  </si>
  <si>
    <t>Carbon Brushes - Khetri Mine</t>
  </si>
  <si>
    <t>CARBON BRUSH HOLDERS - KHETRI MINE</t>
  </si>
  <si>
    <t>NUT &amp; BOLTS FOR KCM</t>
  </si>
  <si>
    <t>Rollers &amp; Idlers for Conveyor</t>
  </si>
  <si>
    <t>Automotive Batteries for Diesel Equipments</t>
  </si>
  <si>
    <t>MATERIAL REQUIRED FOR WATER SUPPLY DEPARTMENT</t>
  </si>
  <si>
    <t>Spares for Crushing &amp; Hoisting System at KCM</t>
  </si>
  <si>
    <t>VOLUTE  SPRING  FOR  SKIP - KHETRI MINE</t>
  </si>
  <si>
    <t>Refilling of Oxygen gas Cylinders for KCC Hospital</t>
  </si>
  <si>
    <t>Out Sourcing for Non-Sensitive Accounts &amp; Taxation related jobs for three months</t>
  </si>
  <si>
    <t>PROCUREMENT OF EQUIPMENTS FOR COVID-19</t>
  </si>
  <si>
    <t>40 H.P. NON CLOG SEWAGE SUBMERASIBLE PUMPSET FOR WATER SUPPLY DEPARTMENT</t>
  </si>
  <si>
    <t>Copper Lugs</t>
  </si>
  <si>
    <t>400 Ampere Vacuum Contctor for Concentrator Electrical</t>
  </si>
  <si>
    <t>ICTP for Khetri Mine Electrical</t>
  </si>
  <si>
    <t>ANTISTATIC HDPE PIPE 25.4 MM</t>
  </si>
  <si>
    <t>MANILA ROPE FOR CENTRAL ELECTRICAL DEPT.</t>
  </si>
  <si>
    <t>AUDCO VALVE 10: FOR HRT</t>
  </si>
  <si>
    <t>Spares for GB 10 ton at KCM</t>
  </si>
  <si>
    <t>Spares of Cone Crusher</t>
  </si>
  <si>
    <t>SPARES FOR CRUSHING &amp; HOISTING SYSTEM - KCM</t>
  </si>
  <si>
    <t>GUIDE SHOE FOR SKIP - KHETRI MINE</t>
  </si>
  <si>
    <t>Spares For Goodman Loco and 10 ton GB</t>
  </si>
  <si>
    <t>BRONZE BUSH FOR SWING JAW  SHAFT OF  DTJ CRUSHER</t>
  </si>
  <si>
    <t>Disposal of Garbage and Dead/Injured Animals from KCM Township for 2021</t>
  </si>
  <si>
    <t>submersible pump with motor</t>
  </si>
  <si>
    <t>GUN METAL BUSH FOR DEFLECTION SHEAVE - KCM</t>
  </si>
  <si>
    <t>FEED DRUM FOR ROD MILL</t>
  </si>
  <si>
    <t>DISC SCREEN PINION SHAFT ASSEMBLY</t>
  </si>
  <si>
    <t>COMPLETE BEARING HOUSING WITH LABYRINTH SEAL</t>
  </si>
  <si>
    <t>Backing Plate for Fawick Air Clutch</t>
  </si>
  <si>
    <t>Electrical lighting work for isolation ward of corona patient at KCC Hospital</t>
  </si>
  <si>
    <t>Outsourcing of Mechanical Maintenance of Critical Equipments in Concentrator Plant of Khetri Copper Complex.</t>
  </si>
  <si>
    <t>Deployment of highly skilled, skilled and semi skilled for shift electrical maintenance etc. in Central Electrical Department</t>
  </si>
  <si>
    <t>Deployment of highly skilled, skilled and semi skilled for shift electrical maintenance etc. in Concentrator plant</t>
  </si>
  <si>
    <t>Contract for Operation &amp; Maintenance of Kolihan Telephone Exchange for 181 days</t>
  </si>
  <si>
    <t>Preventive and Breakdown maintenance jobs of Electrical Installations at Concentrator Plant.</t>
  </si>
  <si>
    <t>CLUTCH TUBE  FOR FAWICK AIR CLUTCH</t>
  </si>
  <si>
    <t>WARMAN PUMP RUBBER SPARES</t>
  </si>
  <si>
    <t>AGITATOR RUBBER SPARES</t>
  </si>
  <si>
    <t>CYCLONE CHAMBER &amp; CONICAL PIECE-RUBBER LINED</t>
  </si>
  <si>
    <t>HT - CABLE  for KCM and Khetri Mine</t>
  </si>
  <si>
    <t>Preventive and Breakdown maintenance jobs of Electrical Installations at Concentrator Plant</t>
  </si>
  <si>
    <t>COMPLETE REPAIRING OF HT MOTOR</t>
  </si>
  <si>
    <t>Annual Rate Contract for Servicing and Maintenance of ACs, Refrigerators and Water Coolers installed at different locations at KCC.</t>
  </si>
  <si>
    <t>CONVEYOR FLIGHT WELDED TA 4659</t>
  </si>
  <si>
    <t>Spares for Apron Feeder.</t>
  </si>
  <si>
    <t>Calibrations of Equipments for FY 2021-22</t>
  </si>
  <si>
    <t>OUT SOURCING OF NON SENSITIVE ACCOUNTS &amp; TAXATION RELATED JOBS</t>
  </si>
  <si>
    <t>To supply 2100 man days of Skilled manpower, 19102 man days of Semi skilled manpower &amp; 6600 man days of Unskilled manpower for underground (U/G) workings and 1095 Semi skilled manpower for above ground (Surface) workings</t>
  </si>
  <si>
    <t>To supply 9384 mandays of skilled manpower, 37663 mandays of semi skilled manpower and 14033 mandays of unskilled manpower in twelve months at KCC U/G Mines.</t>
  </si>
  <si>
    <t>Supply of Hi- Chrome Grindin Media Balls</t>
  </si>
  <si>
    <t>HSD</t>
  </si>
  <si>
    <t>Lubricants.</t>
  </si>
  <si>
    <t>Lubricant</t>
  </si>
  <si>
    <t>AMC for Troubleshooting, Repair and maintenance of Rockwell Automation make PLC used for 0ml Ore crushing and hoisting system at Khetri Copper Mine</t>
  </si>
  <si>
    <t>CARBON BRUSH</t>
  </si>
  <si>
    <t>MILL  PINION  &amp;  SCREEN  BEARINGS (ONLY IMPORTED BEARINGS)</t>
  </si>
  <si>
    <t>BRANDED  BEARINGS  FOR  CONC. PLANT</t>
  </si>
  <si>
    <t>To supply 61320 mandays of Security Personnel at KCC and  45260 mandays of Security Personnel at KCM for two years @ 84 mandays per day at KCC and @ 62 mandays per day at KCM with two closed body hard top Jeeps</t>
  </si>
  <si>
    <t>Deployment of highly skilled, skilled and semi skilled for shift mechanical maintenance etc. in Concentrator plant all through the year or till completion of contract quantity.</t>
  </si>
  <si>
    <t>To supply 620 mandays of Supervisor, 4030 mandays of Electrician, 620 mandays of Operator-cum-Electrician, 930 mandays of Pump Operator, 930 mandays of Armature winder, 620 mandays of Rigger and 3720 mandays of Helper in twelve months.</t>
  </si>
  <si>
    <t>Deployment of highly skilled, skilled, semi skilled &amp; unskilled manpower for shift operation, operation of EOT cranes, sampling jobs; cleaning, housekeeping, handling of operating supplies etc. in Concentrator plant</t>
  </si>
  <si>
    <t>AMC for troubleshooting, repair and maintenance of ABB make DC  drive and PLC panels for 1600KW Service shaft and 2870 KW production shaft winders at KCC Mines</t>
  </si>
  <si>
    <t>Procurement of Oxalic Acid and Nitric Acid</t>
  </si>
  <si>
    <t>BEARINGS FOR CONC. PLANT</t>
  </si>
  <si>
    <t>CRUSHER LINERS FOR KCM</t>
  </si>
  <si>
    <t>CRUSHER LINERS</t>
  </si>
  <si>
    <t>Annual Rate Contract for Servicing, Maintenance and Overhauling of Cummins Engine.</t>
  </si>
  <si>
    <t>HRC - FUSES  FOR  CONC. PLANT</t>
  </si>
  <si>
    <t>Measuring instrunments</t>
  </si>
  <si>
    <t>Procurement of Tangential Key For V-Groove Pulley of DTJ Crusher</t>
  </si>
  <si>
    <t>Loading, Transportation, Unloading along with Godown Rent &amp; Stevdoring Jobs of Copper concentrate from KCC to Gujrat (GCP/Kandla)</t>
  </si>
  <si>
    <t>Supply of DA Gas Cylinders.</t>
  </si>
  <si>
    <t>Analysis of Copper, Gold &amp; Silver in KCC Revert Sample</t>
  </si>
  <si>
    <t>Conducting Geophysical Survey at Kolihan Mine Lease, HCL-KCC.</t>
  </si>
  <si>
    <t>140 cfm Air Cooled SKID Screw Compressor for Khetri Mine</t>
  </si>
  <si>
    <t>COMPRESSED OXYGEN GAS CYLINDERS</t>
  </si>
  <si>
    <t>FEED PLATES &amp; SLEEVE FOR CONE CRUSHER</t>
  </si>
  <si>
    <t>DIGITAL ELECTROMAGNETIC WATER FLOWMETER</t>
  </si>
  <si>
    <t>"14, 045 meter Mine Development, Shaft Sinking, Production Drilling of &amp; Long Hole (57 mm) Drilling at Khetri Copper Mine of Khetri Copper Complex, Rajasthan for a period of 60 (Sixty) months excluding mobilization period of 90 days.</t>
  </si>
  <si>
    <t>14,200metre Mine Development, Decline Development, Production Drilling of Large Dia. (165 mm,115 mm) Drilling &amp; Long Hole (57 mm) Drilling at Kolihan Copper Mine of Khetri Copper Complex,</t>
  </si>
  <si>
    <t>"27, 10, 000 MT ore production along with Mine Development, Decline Development, Diamond Drilling for exploration including sampling in Development and stopes, Production Drilling of Large Dia. (165 mm, 115 mm) Drilling &amp; Long Hole (57 mm)</t>
  </si>
  <si>
    <t>Bearing Base for Rod/Ball Mill</t>
  </si>
  <si>
    <t>AMC OF ABB MAKE DRIVE AND PLC 2021-22</t>
  </si>
  <si>
    <t>SPARES FOR LOADERS AND GB CARS - KHETRI MINE</t>
  </si>
  <si>
    <t>SHAFT &amp; FAN  BLADE  FOR VENTILATION  FAN - KHETRI MINE</t>
  </si>
  <si>
    <t>Procurement of Speed Sensor with handle</t>
  </si>
  <si>
    <t>DOUBLE DECK CAGE FOR 1600KW SERVICE SHAFT WINDER-KHETRI MINE</t>
  </si>
  <si>
    <t>20 T  CAGE SUSPENSION GEAR (PROTOTYPE) FOR FIELD TRIAL</t>
  </si>
  <si>
    <t>SUNPENSION GEAR / ROPE ATTACHMENT - KCM</t>
  </si>
  <si>
    <t>Hiring of 2 sets of Diesel equipments (Supply, Operation and Maintenance) at Kolihan Copper Mine</t>
  </si>
  <si>
    <t>Hiring of 3 sets of Diesel Equipment (Supply, Operation and Maintenance) at Kolihan Copper Mine, Khetri Copper Complex, Jhunjhunu, Rajasthan, India</t>
  </si>
  <si>
    <t>Hydraulic Pumps for JDT &amp; LHD at KCM</t>
  </si>
  <si>
    <t>VALVES FOR CONCENTRATOR PLANT</t>
  </si>
  <si>
    <t>PROCUREMENT OF CERAMIC SPARES</t>
  </si>
  <si>
    <t>14 TON SKIP FOR KOPE WINDER - KHETRI MINE</t>
  </si>
  <si>
    <t>Hose Pipe</t>
  </si>
  <si>
    <t>TRACTION BATTERY</t>
  </si>
  <si>
    <t>TRACK BOLTS WITH NUT</t>
  </si>
  <si>
    <t>Carbon Brush Holder</t>
  </si>
  <si>
    <t>Locomotive spares (Shri Jitendra Katyal)</t>
  </si>
  <si>
    <t>Blow Out Coil for Goodman Locomotives</t>
  </si>
  <si>
    <t>POLYMIDE INSERT FOR DEFLECTION PULLY</t>
  </si>
  <si>
    <t>2500 A   BREAKER - CONC.  PLANT</t>
  </si>
  <si>
    <t>HRC Fuse for Concentrator Plant</t>
  </si>
  <si>
    <t>60 lbs  RAIL  CROSSING - KHETRI MINE</t>
  </si>
  <si>
    <t>DOG NAILS FOR 60LBS RAILS</t>
  </si>
  <si>
    <t>Procurement of Goodman Locomotive Motor Shaft</t>
  </si>
  <si>
    <t>ROLLER CHAIN SIMPLEX FOR KCM</t>
  </si>
  <si>
    <t>Wire rope of 51mm dia for KCC Mines for Service SHAFT WINDER</t>
  </si>
  <si>
    <t>Wire rope of 25mm dia for KCC Mines for Production SHAFT WINDER</t>
  </si>
  <si>
    <t>Procurement of “Wire rope (16, 28 &amp; 52mm Dia )for KCC  Mines for Koepe WINDER”</t>
  </si>
  <si>
    <t>PIT BOTTOM BUFFER - KHETRI MNE MECH.</t>
  </si>
  <si>
    <t>Pulley for TE 13 feeder at KCM</t>
  </si>
  <si>
    <t>Supply of 210MT Hi-Chrome GM Ball of 60mm dia</t>
  </si>
  <si>
    <t>Goodman Locomotive Spares &amp; Locomotive Trolley Line spares</t>
  </si>
  <si>
    <t>Locomotive spares (Shri J. Katyal)</t>
  </si>
  <si>
    <t>WELDING ELECTRODES OF KCM</t>
  </si>
  <si>
    <t>MAIN BEARING BUSHING FOR ROD/BALL MILLS</t>
  </si>
  <si>
    <t>Procurement of Electronic belt weightometer</t>
  </si>
  <si>
    <t>Hydraulic Spares for LHD No.51</t>
  </si>
  <si>
    <t>Outsourcing of Equipments Repair/Shift Maintenance of Dozers and loaders in Central Mechanical Department at Khetri Copper Complex</t>
  </si>
  <si>
    <t>LED  Lights  for  Khetri  Mines</t>
  </si>
  <si>
    <t>CHAIN  FOR  EIMCO 824  LOADER</t>
  </si>
  <si>
    <t>EIMCO 824 ROCKER SHOVEL  LOADER - KHETRI MINE</t>
  </si>
  <si>
    <t>AIR MOTOR &amp; LUBRICATOR - 824 LOADER -KHETRI MINE</t>
  </si>
  <si>
    <t>SPARES FOR EIMCO 824 LOADER - KHETRI MINE</t>
  </si>
  <si>
    <t>CHAIN ROLLER For Surface Belt Conveyor</t>
  </si>
  <si>
    <t>SIEMENS  PLC  SPARES  FOR  POLISH  WINDER - KCM</t>
  </si>
  <si>
    <t>40 mm Explosive</t>
  </si>
  <si>
    <t>BEARINGS -3,  for   C.E.R.S</t>
  </si>
  <si>
    <t>BEARINGS  FOR  KHETRI  MINE  - ELCETRICAL</t>
  </si>
  <si>
    <t>V-Belt</t>
  </si>
  <si>
    <t>FOOT VALVE FOR DEWAERING PUMPS: 180ML &amp; 0ML</t>
  </si>
  <si>
    <t>Subsidence area scan survey at Kolihan Copper Mine</t>
  </si>
  <si>
    <t>AIR COOLED SCREW COMPRESSOR (1040 cfm) for KHETRI MINE</t>
  </si>
  <si>
    <t>25 mm dia Emulsion based Explosive.</t>
  </si>
  <si>
    <t>Bearing Spherical Roller Double Row Self Alligning 22322EJW33C4 -- Shri Ramesh Tanwar</t>
  </si>
  <si>
    <t>PID Controllers</t>
  </si>
  <si>
    <t>FISH PLATE FOR 60 LBS/YD RAILS</t>
  </si>
  <si>
    <t>890 PX PUMP  ASSY. FOR  POLISH  WINDER - KCM</t>
  </si>
  <si>
    <t>POLISH WINDER SPARES - KCM</t>
  </si>
  <si>
    <t>FIRE EXTINGUISHERS</t>
  </si>
  <si>
    <t>SLURRY EXPLOSIVE 83 MM DIA</t>
  </si>
  <si>
    <t>FIRE HOSE PIPE</t>
  </si>
  <si>
    <t>Recon Transmission Assly</t>
  </si>
  <si>
    <t>Pumps for L&amp;T Komatsu Loader</t>
  </si>
  <si>
    <t>2021 STATIONERY ITEMS FOR KCC</t>
  </si>
  <si>
    <t>SPARES FOR CUMMINS ENGINE NT 855</t>
  </si>
  <si>
    <t>Transformer Oil Testing at KCC</t>
  </si>
  <si>
    <t>Wheel &amp; Sproket</t>
  </si>
  <si>
    <t>GeM procurement- Consumables &amp; Spares for Cameron Compressor TA-3000</t>
  </si>
  <si>
    <t>JOB CONTRACT FOR SAMPLING &amp; ASSOCIATED ACTIVITIES AT KOLIHAN COPPER MINE</t>
  </si>
  <si>
    <t>HRT(T) PUMP SPARES</t>
  </si>
  <si>
    <t>CONTACTORS,MCCB, PUSH BUTTONS</t>
  </si>
  <si>
    <t>Spares For NPK ROCK BREAKER</t>
  </si>
  <si>
    <t>Hydraulic Hammer Model GH-6 For NPK Rock Breaker</t>
  </si>
  <si>
    <t>Control Valve Assembly for NPK Rock Breaker</t>
  </si>
  <si>
    <t>Procurement of Spares (Tie Rod) For NPK Rock Breaker</t>
  </si>
  <si>
    <t>OCB - SPARES  FOR  KCM</t>
  </si>
  <si>
    <t>OCB Spares -- Shri D.K. Kundu</t>
  </si>
  <si>
    <t>Radiator assly for dozer BD 355 A3</t>
  </si>
  <si>
    <t>NDT OF WINDER VITAL PARTS &amp; DT OF WIRE ROPES</t>
  </si>
  <si>
    <t>Detonating Fuse</t>
  </si>
  <si>
    <t>FLOCCULANT SNF(FLOMIN) 4913/MAGNAFLOC 333</t>
  </si>
  <si>
    <t>Repair and replacement of Doors and Windows at Plant Area during 2019-20 (A.R.C.)</t>
  </si>
  <si>
    <t>16-NOV-21</t>
  </si>
  <si>
    <t>27-FEB-18</t>
  </si>
  <si>
    <t>11-OCT-18</t>
  </si>
  <si>
    <t>03-NOV-21</t>
  </si>
  <si>
    <t>03-DEC-21</t>
  </si>
  <si>
    <t>10-JUN-21</t>
  </si>
  <si>
    <t>30-DEC-21</t>
  </si>
  <si>
    <t>14-MAY-21</t>
  </si>
  <si>
    <t>17-MAR-20</t>
  </si>
  <si>
    <t>07-JAN-22</t>
  </si>
  <si>
    <t>06-FEB-22</t>
  </si>
  <si>
    <t>19-JUL-21</t>
  </si>
  <si>
    <t>03-DEC-19</t>
  </si>
  <si>
    <t>16-JAN-21</t>
  </si>
  <si>
    <t>06-OCT-21</t>
  </si>
  <si>
    <t>28-AUG-20</t>
  </si>
  <si>
    <t>23-JUN-21</t>
  </si>
  <si>
    <t>13-JUL-21</t>
  </si>
  <si>
    <t>28-SEP-21</t>
  </si>
  <si>
    <t>08-AUG-21</t>
  </si>
  <si>
    <t>23-SEP-21</t>
  </si>
  <si>
    <t>16-FEB-22</t>
  </si>
  <si>
    <t>08-JUN-21</t>
  </si>
  <si>
    <t>19-FEB-22</t>
  </si>
  <si>
    <t>09-JUN-21</t>
  </si>
  <si>
    <t>14-OCT-19</t>
  </si>
  <si>
    <t>06-APR-21</t>
  </si>
  <si>
    <t>22-NOV-21</t>
  </si>
  <si>
    <t>06-DEC-21</t>
  </si>
  <si>
    <t>23-NOV-21</t>
  </si>
  <si>
    <t>15-JAN-11</t>
  </si>
  <si>
    <t>27-NOV-21</t>
  </si>
  <si>
    <t>31-DEC-20</t>
  </si>
  <si>
    <t>17-DEC-21</t>
  </si>
  <si>
    <t>19-JAN-22</t>
  </si>
  <si>
    <t>12-JUN-21</t>
  </si>
  <si>
    <t>15-JUL-21</t>
  </si>
  <si>
    <t>09-FEB-22</t>
  </si>
  <si>
    <t>08-JUL-21</t>
  </si>
  <si>
    <t>01-JUL-21</t>
  </si>
  <si>
    <t>28-JUL-21</t>
  </si>
  <si>
    <t>24-APR-20</t>
  </si>
  <si>
    <t>05-OCT-21</t>
  </si>
  <si>
    <t>07-DEC-21</t>
  </si>
  <si>
    <t>05-AUG-21</t>
  </si>
  <si>
    <t>13-AUG-21</t>
  </si>
  <si>
    <t>23-AUG-21</t>
  </si>
  <si>
    <t>08-FEB-21</t>
  </si>
  <si>
    <t>10-SEP-21</t>
  </si>
  <si>
    <t>31-MAY-21</t>
  </si>
  <si>
    <t>06-OCT-20</t>
  </si>
  <si>
    <t>17-FEB-20</t>
  </si>
  <si>
    <t>03-JUN-21</t>
  </si>
  <si>
    <t>15-NOV-21</t>
  </si>
  <si>
    <t>18-MAY-21</t>
  </si>
  <si>
    <t>25-MAY-21</t>
  </si>
  <si>
    <t>27-SEP-21</t>
  </si>
  <si>
    <t>25-JUN-21</t>
  </si>
  <si>
    <t>30-AUG-21</t>
  </si>
  <si>
    <t>05-JUN-21</t>
  </si>
  <si>
    <t>13-SEP-21</t>
  </si>
  <si>
    <t>14-JAN-22</t>
  </si>
  <si>
    <t>21-OCT-21</t>
  </si>
  <si>
    <t>20-DEC-21</t>
  </si>
  <si>
    <t>22-JUN-21</t>
  </si>
  <si>
    <t>03-SEP-21</t>
  </si>
  <si>
    <t>02-JUN-21</t>
  </si>
  <si>
    <t>13-JAN-22</t>
  </si>
  <si>
    <t>27-AUG-21</t>
  </si>
  <si>
    <t>22-APR-21</t>
  </si>
  <si>
    <t>24-MAY-21</t>
  </si>
  <si>
    <t>30-OCT-21</t>
  </si>
  <si>
    <t>15-FEB-22</t>
  </si>
  <si>
    <t>04-JAN-22</t>
  </si>
  <si>
    <t>14-DEC-21</t>
  </si>
  <si>
    <t>06-JAN-22</t>
  </si>
  <si>
    <t>04-DEC-21</t>
  </si>
  <si>
    <t>11-MAY-21</t>
  </si>
  <si>
    <t>31-JAN-22</t>
  </si>
  <si>
    <t>02-NOV-21</t>
  </si>
  <si>
    <t>29-JAN-21</t>
  </si>
  <si>
    <t>22-OCT-19</t>
  </si>
  <si>
    <t>24-AUG-21</t>
  </si>
  <si>
    <t>05-DEC-20</t>
  </si>
  <si>
    <t>05-APR-21</t>
  </si>
  <si>
    <t>04-OCT-21</t>
  </si>
  <si>
    <t>31-OCT-20</t>
  </si>
  <si>
    <t>29-SEP-21</t>
  </si>
  <si>
    <t>18-FEB-21</t>
  </si>
  <si>
    <t>03-MAY-21</t>
  </si>
  <si>
    <t>11-DEC-21</t>
  </si>
  <si>
    <t>11-JUN-21</t>
  </si>
  <si>
    <t>16-AUG-21</t>
  </si>
  <si>
    <t>20-JUL-21</t>
  </si>
  <si>
    <t>08-JAN-22</t>
  </si>
  <si>
    <t>28-APR-21</t>
  </si>
  <si>
    <t>22-JAN-22</t>
  </si>
  <si>
    <t>12-JUL-21</t>
  </si>
  <si>
    <t>06-FEB-20</t>
  </si>
  <si>
    <t>01-SEP-20</t>
  </si>
  <si>
    <t>20-OCT-21</t>
  </si>
  <si>
    <t>14-OCT-21</t>
  </si>
  <si>
    <t>27-DEC-21</t>
  </si>
  <si>
    <t>08-OCT-21</t>
  </si>
  <si>
    <t>25-OCT-21</t>
  </si>
  <si>
    <t>06-JUN-21</t>
  </si>
  <si>
    <t>29-AUG-20</t>
  </si>
  <si>
    <t>06-JUL-21</t>
  </si>
  <si>
    <t>17-JUN-21</t>
  </si>
  <si>
    <t>28-MAY-21</t>
  </si>
  <si>
    <t>07-FEB-22</t>
  </si>
  <si>
    <t>09-DEC-20</t>
  </si>
  <si>
    <t>05-NOV-21</t>
  </si>
  <si>
    <t>21-JUN-21</t>
  </si>
  <si>
    <t>18-JAN-22</t>
  </si>
  <si>
    <t>13-OCT-21</t>
  </si>
  <si>
    <t>10-FEB-22</t>
  </si>
  <si>
    <t>08-JAN-21</t>
  </si>
  <si>
    <t>21-DEC-21</t>
  </si>
  <si>
    <t>02-FEB-22</t>
  </si>
  <si>
    <t>14-JUN-21</t>
  </si>
  <si>
    <t>30-JUL-21</t>
  </si>
  <si>
    <t>11-JAN-22</t>
  </si>
  <si>
    <t>28-OCT-21</t>
  </si>
  <si>
    <t>10-JAN-22</t>
  </si>
  <si>
    <t>04-JUL-21</t>
  </si>
  <si>
    <t>17-JUL-21</t>
  </si>
  <si>
    <t>12-JAN-22</t>
  </si>
  <si>
    <t>25-JAN-22</t>
  </si>
  <si>
    <t>14-SEP-20</t>
  </si>
  <si>
    <t>12-DEC-21</t>
  </si>
  <si>
    <t>14-AUG-21</t>
  </si>
  <si>
    <t>12-AUG-21</t>
  </si>
  <si>
    <t>23-DEC-21</t>
  </si>
  <si>
    <t>08-FEB-22</t>
  </si>
  <si>
    <t>10-JUL-21</t>
  </si>
  <si>
    <t>29-NOV-21</t>
  </si>
  <si>
    <t>20-JAN-22</t>
  </si>
  <si>
    <t>29-DEC-21</t>
  </si>
  <si>
    <t>18-FEB-22</t>
  </si>
  <si>
    <t>25-NOV-21</t>
  </si>
  <si>
    <t>29-OCT-21</t>
  </si>
  <si>
    <t>05-JAN-22</t>
  </si>
  <si>
    <t>09-SEP-21</t>
  </si>
  <si>
    <t>22-OCT-21</t>
  </si>
  <si>
    <t>04-MAY-21</t>
  </si>
  <si>
    <t>02-OCT-21</t>
  </si>
  <si>
    <t>27-APR-21</t>
  </si>
  <si>
    <t>05-FEB-20</t>
  </si>
  <si>
    <t>22-SEP-21</t>
  </si>
  <si>
    <t>01-FEB-22</t>
  </si>
  <si>
    <t>21-APR-21</t>
  </si>
  <si>
    <t>07-JUL-21</t>
  </si>
  <si>
    <t>16-JUL-21</t>
  </si>
  <si>
    <t>12-FEB-20</t>
  </si>
  <si>
    <t>24-JUL-21</t>
  </si>
  <si>
    <t>30-JUN-21</t>
  </si>
  <si>
    <t>19-AUG-21</t>
  </si>
  <si>
    <t>01-OCT-20</t>
  </si>
  <si>
    <t>14-JAN-21</t>
  </si>
  <si>
    <t>23-OCT-21</t>
  </si>
  <si>
    <t>12-NOV-21</t>
  </si>
  <si>
    <t>27-SEP-17</t>
  </si>
  <si>
    <t>09-OCT-17</t>
  </si>
  <si>
    <t>07-OCT-17</t>
  </si>
  <si>
    <t>28-JAN-22</t>
  </si>
  <si>
    <t>07-OCT-19</t>
  </si>
  <si>
    <t>16-SEP-19</t>
  </si>
  <si>
    <t>03-SEP-19</t>
  </si>
  <si>
    <t>29-AUG-19</t>
  </si>
  <si>
    <t>07-OCT-21</t>
  </si>
  <si>
    <t>13-NOV-21</t>
  </si>
  <si>
    <t>10-NOV-21</t>
  </si>
  <si>
    <t>17-JAN-22</t>
  </si>
  <si>
    <t>26-AUG-21</t>
  </si>
  <si>
    <t>04-AUG-21</t>
  </si>
  <si>
    <t>13-JAN-21</t>
  </si>
  <si>
    <t>24-NOV-21</t>
  </si>
  <si>
    <t>04-NOV-17</t>
  </si>
  <si>
    <t>03-JUN-17</t>
  </si>
  <si>
    <t>24-OCT-17</t>
  </si>
  <si>
    <t>28-AUG-21</t>
  </si>
  <si>
    <t>19-NOV-21</t>
  </si>
  <si>
    <t>24-AUG-17</t>
  </si>
  <si>
    <t>09-SEP-20</t>
  </si>
  <si>
    <t>24-JAN-22</t>
  </si>
  <si>
    <t>21-AUG-21</t>
  </si>
  <si>
    <t>27-OCT-21</t>
  </si>
  <si>
    <t>17-NOV-21</t>
  </si>
  <si>
    <t>22-DEC-21</t>
  </si>
  <si>
    <t>13-DEC-21</t>
  </si>
  <si>
    <t>15-JAN-22</t>
  </si>
  <si>
    <t>03-JUL-21</t>
  </si>
  <si>
    <t>26-OCT-21</t>
  </si>
  <si>
    <t>02-NOV-20</t>
  </si>
  <si>
    <t>26-NOV-21</t>
  </si>
  <si>
    <t>24-DEC-21</t>
  </si>
  <si>
    <t>24-JUN-21</t>
  </si>
  <si>
    <t>17-SEP-21</t>
  </si>
  <si>
    <t>20-SEP-21</t>
  </si>
  <si>
    <t>25-AUG-21</t>
  </si>
  <si>
    <t>02-DEC-21</t>
  </si>
  <si>
    <t>04-FEB-22</t>
  </si>
  <si>
    <t>27-JAN-22</t>
  </si>
  <si>
    <t>19-MAR-21</t>
  </si>
  <si>
    <t>06-AUG-21</t>
  </si>
  <si>
    <t>16-SEP-21</t>
  </si>
  <si>
    <t>14-FEB-22</t>
  </si>
  <si>
    <t>31-JUL-21</t>
  </si>
  <si>
    <t>29-JAN-22</t>
  </si>
  <si>
    <t>16-APR-21</t>
  </si>
  <si>
    <t>19-OCT-21</t>
  </si>
  <si>
    <t>18-OCT-21</t>
  </si>
  <si>
    <t>05-FEB-22</t>
  </si>
  <si>
    <t>18-NOV-21</t>
  </si>
  <si>
    <t>16-JUN-21</t>
  </si>
  <si>
    <t>27-JUN-19</t>
  </si>
  <si>
    <t>Mr. Suman Kumar</t>
  </si>
  <si>
    <t>Mr. Akash Das</t>
  </si>
  <si>
    <t>Mr. Rajesh Dhandel</t>
  </si>
  <si>
    <t>Mr. Mohammad Usman</t>
  </si>
  <si>
    <t>Mr. Subrata Sarkar</t>
  </si>
  <si>
    <t>Mr. Premasis Chakraborty</t>
  </si>
  <si>
    <t>Mr. Kavish Saurav</t>
  </si>
  <si>
    <t>Mr. Khushi Ram Bairwa</t>
  </si>
  <si>
    <t>Ms. Bhawna Yadav</t>
  </si>
  <si>
    <t>Mr. Syed Mohammad Ali</t>
  </si>
  <si>
    <t>Mr. Arvind Kumar Mishra</t>
  </si>
  <si>
    <t>Mr. Debaraj Mohapatra</t>
  </si>
  <si>
    <t>Mr. Varun Arora</t>
  </si>
  <si>
    <t>Mr. Ajay Kumar Sharma</t>
  </si>
  <si>
    <t>HCL KCC Mechanical</t>
  </si>
  <si>
    <t>HCL HO Materials</t>
  </si>
  <si>
    <t>HCL KCC Materials - Purchase</t>
  </si>
  <si>
    <t>HCL KCC Materials - Central Stores</t>
  </si>
  <si>
    <t>HCL KCC Kolihan Mines</t>
  </si>
  <si>
    <t>KCC Org-Maintenance</t>
  </si>
  <si>
    <t>KCC Org-Process</t>
  </si>
  <si>
    <t>Khetri Mines</t>
  </si>
  <si>
    <t>27507.6</t>
  </si>
  <si>
    <t>5164560.6</t>
  </si>
  <si>
    <t>4695692.7</t>
  </si>
  <si>
    <t>104472</t>
  </si>
  <si>
    <t>27115.92</t>
  </si>
  <si>
    <t>60672.8</t>
  </si>
  <si>
    <t>831222</t>
  </si>
  <si>
    <t>12285000</t>
  </si>
  <si>
    <t>206526.6</t>
  </si>
  <si>
    <t>30411.48</t>
  </si>
  <si>
    <t>14226</t>
  </si>
  <si>
    <t>5541.6</t>
  </si>
  <si>
    <t>1311984.9</t>
  </si>
  <si>
    <t>476262.68</t>
  </si>
  <si>
    <t>51840</t>
  </si>
  <si>
    <t>70048.8</t>
  </si>
  <si>
    <t>277286.4</t>
  </si>
  <si>
    <t>477355.32</t>
  </si>
  <si>
    <t>142503.84</t>
  </si>
  <si>
    <t>1143342</t>
  </si>
  <si>
    <t>264249</t>
  </si>
  <si>
    <t>30213</t>
  </si>
  <si>
    <t>41194.8</t>
  </si>
  <si>
    <t>80374.5</t>
  </si>
  <si>
    <t>139200</t>
  </si>
  <si>
    <t>133558.2</t>
  </si>
  <si>
    <t>104940</t>
  </si>
  <si>
    <t>7380</t>
  </si>
  <si>
    <t>104328</t>
  </si>
  <si>
    <t>167400</t>
  </si>
  <si>
    <t>117333</t>
  </si>
  <si>
    <t>62537.96</t>
  </si>
  <si>
    <t>34425</t>
  </si>
  <si>
    <t>258690.6</t>
  </si>
  <si>
    <t>63265.42</t>
  </si>
  <si>
    <t>58455</t>
  </si>
  <si>
    <t>185220</t>
  </si>
  <si>
    <t>33821.82</t>
  </si>
  <si>
    <t>1053360</t>
  </si>
  <si>
    <t>218538</t>
  </si>
  <si>
    <t>134024.22</t>
  </si>
  <si>
    <t>360450</t>
  </si>
  <si>
    <t>170671.5</t>
  </si>
  <si>
    <t>98280</t>
  </si>
  <si>
    <t>1300.8</t>
  </si>
  <si>
    <t>102258</t>
  </si>
  <si>
    <t>203670</t>
  </si>
  <si>
    <t>12384</t>
  </si>
  <si>
    <t>489555</t>
  </si>
  <si>
    <t>604114.2</t>
  </si>
  <si>
    <t>142128</t>
  </si>
  <si>
    <t>780456.02</t>
  </si>
  <si>
    <t>17839625.34</t>
  </si>
  <si>
    <t>413475.12</t>
  </si>
  <si>
    <t>38736</t>
  </si>
  <si>
    <t>248258.7</t>
  </si>
  <si>
    <t>97465.68</t>
  </si>
  <si>
    <t>75031.2</t>
  </si>
  <si>
    <t>128455.2</t>
  </si>
  <si>
    <t>278100</t>
  </si>
  <si>
    <t>37530</t>
  </si>
  <si>
    <t>122779.8</t>
  </si>
  <si>
    <t>35064</t>
  </si>
  <si>
    <t>6462</t>
  </si>
  <si>
    <t>42930</t>
  </si>
  <si>
    <t>28731.6</t>
  </si>
  <si>
    <t>14490</t>
  </si>
  <si>
    <t>124732.8</t>
  </si>
  <si>
    <t>15966</t>
  </si>
  <si>
    <t>35712.82</t>
  </si>
  <si>
    <t>356247.82</t>
  </si>
  <si>
    <t>40734</t>
  </si>
  <si>
    <t>75330</t>
  </si>
  <si>
    <t>61920</t>
  </si>
  <si>
    <t>41332.4</t>
  </si>
  <si>
    <t>183780</t>
  </si>
  <si>
    <t>61200</t>
  </si>
  <si>
    <t>1923298.65</t>
  </si>
  <si>
    <t>414</t>
  </si>
  <si>
    <t>1134</t>
  </si>
  <si>
    <t>12600</t>
  </si>
  <si>
    <t>18032.4</t>
  </si>
  <si>
    <t>81108</t>
  </si>
  <si>
    <t>51750</t>
  </si>
  <si>
    <t>4952.52</t>
  </si>
  <si>
    <t>3627099</t>
  </si>
  <si>
    <t>126496.8</t>
  </si>
  <si>
    <t>174184.74</t>
  </si>
  <si>
    <t>1260</t>
  </si>
  <si>
    <t>5472</t>
  </si>
  <si>
    <t>132633</t>
  </si>
  <si>
    <t>1129829.28</t>
  </si>
  <si>
    <t>346230</t>
  </si>
  <si>
    <t>1808426.22</t>
  </si>
  <si>
    <t>803834.34</t>
  </si>
  <si>
    <t>546243.76</t>
  </si>
  <si>
    <t>515592</t>
  </si>
  <si>
    <t>577809.44</t>
  </si>
  <si>
    <t>859626</t>
  </si>
  <si>
    <t>54405</t>
  </si>
  <si>
    <t>334326.3</t>
  </si>
  <si>
    <t>327815.74</t>
  </si>
  <si>
    <t>2880</t>
  </si>
  <si>
    <t>1609.42</t>
  </si>
  <si>
    <t>21600</t>
  </si>
  <si>
    <t>1948.42</t>
  </si>
  <si>
    <t>770548.66</t>
  </si>
  <si>
    <t>409428</t>
  </si>
  <si>
    <t>2782117.72</t>
  </si>
  <si>
    <t>35541</t>
  </si>
  <si>
    <t>90002.26</t>
  </si>
  <si>
    <t>507600</t>
  </si>
  <si>
    <t>106920</t>
  </si>
  <si>
    <t>106857.9</t>
  </si>
  <si>
    <t>123300</t>
  </si>
  <si>
    <t>79380</t>
  </si>
  <si>
    <t>120389.36</t>
  </si>
  <si>
    <t>51587.1</t>
  </si>
  <si>
    <t>145336.5</t>
  </si>
  <si>
    <t>16524</t>
  </si>
  <si>
    <t>71280</t>
  </si>
  <si>
    <t>69219</t>
  </si>
  <si>
    <t>116280</t>
  </si>
  <si>
    <t>2304</t>
  </si>
  <si>
    <t>296110.8</t>
  </si>
  <si>
    <t>49867.2</t>
  </si>
  <si>
    <t>257261.4</t>
  </si>
  <si>
    <t>333531</t>
  </si>
  <si>
    <t>51454.8</t>
  </si>
  <si>
    <t>340166.66</t>
  </si>
  <si>
    <t>555040.8</t>
  </si>
  <si>
    <t>24232.5</t>
  </si>
  <si>
    <t>3596.4</t>
  </si>
  <si>
    <t>76248</t>
  </si>
  <si>
    <t>57600</t>
  </si>
  <si>
    <t>64526.4</t>
  </si>
  <si>
    <t>57402</t>
  </si>
  <si>
    <t>276750</t>
  </si>
  <si>
    <t>565200.08</t>
  </si>
  <si>
    <t>31320</t>
  </si>
  <si>
    <t>334606.68</t>
  </si>
  <si>
    <t>115720.2</t>
  </si>
  <si>
    <t>10531.08</t>
  </si>
  <si>
    <t>37080</t>
  </si>
  <si>
    <t>8850.6</t>
  </si>
  <si>
    <t>7679.7</t>
  </si>
  <si>
    <t>2385</t>
  </si>
  <si>
    <t>62820</t>
  </si>
  <si>
    <t>20412</t>
  </si>
  <si>
    <t>11030.58</t>
  </si>
  <si>
    <t>6706.8</t>
  </si>
  <si>
    <t>39222</t>
  </si>
  <si>
    <t>19405.44</t>
  </si>
  <si>
    <t>18430.2</t>
  </si>
  <si>
    <t>123471</t>
  </si>
  <si>
    <t>17309.6</t>
  </si>
  <si>
    <t>39420</t>
  </si>
  <si>
    <t>101174.12</t>
  </si>
  <si>
    <t>5400</t>
  </si>
  <si>
    <t>68668.84</t>
  </si>
  <si>
    <t>14926.08</t>
  </si>
  <si>
    <t>9543.6</t>
  </si>
  <si>
    <t>5580</t>
  </si>
  <si>
    <t>18540</t>
  </si>
  <si>
    <t>42300</t>
  </si>
  <si>
    <t>3829.5</t>
  </si>
  <si>
    <t>17219.8</t>
  </si>
  <si>
    <t>8724.38</t>
  </si>
  <si>
    <t>2646</t>
  </si>
  <si>
    <t>35100</t>
  </si>
  <si>
    <t>6840</t>
  </si>
  <si>
    <t>11178</t>
  </si>
  <si>
    <t>2482.2</t>
  </si>
  <si>
    <t>7497</t>
  </si>
  <si>
    <t>42988.14</t>
  </si>
  <si>
    <t>29638.8</t>
  </si>
  <si>
    <t>1496.88</t>
  </si>
  <si>
    <t>77274</t>
  </si>
  <si>
    <t>30776.66</t>
  </si>
  <si>
    <t>4290.08</t>
  </si>
  <si>
    <t>44820</t>
  </si>
  <si>
    <t>27028.8</t>
  </si>
  <si>
    <t>3252.96</t>
  </si>
  <si>
    <t>34196.4</t>
  </si>
  <si>
    <t>10607.04</t>
  </si>
  <si>
    <t>83299.14</t>
  </si>
  <si>
    <t>24138</t>
  </si>
  <si>
    <t>6868.8</t>
  </si>
  <si>
    <t>183600</t>
  </si>
  <si>
    <t>32391.36</t>
  </si>
  <si>
    <t>13136.4</t>
  </si>
  <si>
    <t>47520</t>
  </si>
  <si>
    <t>63787.5</t>
  </si>
  <si>
    <t>6612.12</t>
  </si>
  <si>
    <t>11663.1</t>
  </si>
  <si>
    <t>418753.8</t>
  </si>
  <si>
    <t>1054085.82</t>
  </si>
  <si>
    <t>802363.6</t>
  </si>
  <si>
    <t>89920.8</t>
  </si>
  <si>
    <t>187500.78</t>
  </si>
  <si>
    <t>90209.52</t>
  </si>
  <si>
    <t>641286.72</t>
  </si>
  <si>
    <t>242028.39</t>
  </si>
  <si>
    <t>178135.2</t>
  </si>
  <si>
    <t>39268.8</t>
  </si>
  <si>
    <t>304187.4</t>
  </si>
  <si>
    <t>187597.89</t>
  </si>
  <si>
    <t>53100</t>
  </si>
  <si>
    <t>94526.28</t>
  </si>
  <si>
    <t>592200</t>
  </si>
  <si>
    <t>536472</t>
  </si>
  <si>
    <t>3807</t>
  </si>
  <si>
    <t>278307.51</t>
  </si>
  <si>
    <t>4148530.47</t>
  </si>
  <si>
    <t>6290487.24</t>
  </si>
  <si>
    <t>9149848.71</t>
  </si>
  <si>
    <t>11400652.02</t>
  </si>
  <si>
    <t>3539520</t>
  </si>
  <si>
    <t>32308373.36</t>
  </si>
  <si>
    <t>221850.19</t>
  </si>
  <si>
    <t>4712392.97</t>
  </si>
  <si>
    <t>24840</t>
  </si>
  <si>
    <t>2188</t>
  </si>
  <si>
    <t>160056</t>
  </si>
  <si>
    <t>38359.44</t>
  </si>
  <si>
    <t>15879883.09</t>
  </si>
  <si>
    <t>1137678.14</t>
  </si>
  <si>
    <t>1919775.01</t>
  </si>
  <si>
    <t>6501977.56</t>
  </si>
  <si>
    <t>78595.92</t>
  </si>
  <si>
    <t>101250</t>
  </si>
  <si>
    <t>5951.16</t>
  </si>
  <si>
    <t>323481.6</t>
  </si>
  <si>
    <t>793540.8</t>
  </si>
  <si>
    <t>52236</t>
  </si>
  <si>
    <t>4542.84</t>
  </si>
  <si>
    <t>7314.66</t>
  </si>
  <si>
    <t>13785.6</t>
  </si>
  <si>
    <t>2073756</t>
  </si>
  <si>
    <t>8112847.5</t>
  </si>
  <si>
    <t>147095.96</t>
  </si>
  <si>
    <t>7847.28</t>
  </si>
  <si>
    <t>1490379.66</t>
  </si>
  <si>
    <t>82003.32</t>
  </si>
  <si>
    <t>169615.5</t>
  </si>
  <si>
    <t>133163.28</t>
  </si>
  <si>
    <t>61538.4</t>
  </si>
  <si>
    <t>68040</t>
  </si>
  <si>
    <t>229101608.32</t>
  </si>
  <si>
    <t>280337017.8</t>
  </si>
  <si>
    <t>599213594.78</t>
  </si>
  <si>
    <t>114498</t>
  </si>
  <si>
    <t>68418</t>
  </si>
  <si>
    <t>49412.16</t>
  </si>
  <si>
    <t>1082520</t>
  </si>
  <si>
    <t>7200</t>
  </si>
  <si>
    <t>385002</t>
  </si>
  <si>
    <t>0</t>
  </si>
  <si>
    <t>111917811.68</t>
  </si>
  <si>
    <t>203489224.32</t>
  </si>
  <si>
    <t>42982.1</t>
  </si>
  <si>
    <t>8064</t>
  </si>
  <si>
    <t>476109.28</t>
  </si>
  <si>
    <t>531000</t>
  </si>
  <si>
    <t>11108.7</t>
  </si>
  <si>
    <t>7292.9</t>
  </si>
  <si>
    <t>759476.48</t>
  </si>
  <si>
    <t>36162.28</t>
  </si>
  <si>
    <t>6244.56</t>
  </si>
  <si>
    <t>49752</t>
  </si>
  <si>
    <t>5616</t>
  </si>
  <si>
    <t>1836</t>
  </si>
  <si>
    <t>10440</t>
  </si>
  <si>
    <t>66816</t>
  </si>
  <si>
    <t>67392</t>
  </si>
  <si>
    <t>1553.04</t>
  </si>
  <si>
    <t>54693.72</t>
  </si>
  <si>
    <t>865.95</t>
  </si>
  <si>
    <t>410400</t>
  </si>
  <si>
    <t>11597.76</t>
  </si>
  <si>
    <t>56700</t>
  </si>
  <si>
    <t>3780</t>
  </si>
  <si>
    <t>7888.32</t>
  </si>
  <si>
    <t>203246.78</t>
  </si>
  <si>
    <t>350474.04</t>
  </si>
  <si>
    <t>583943.4</t>
  </si>
  <si>
    <t>351000</t>
  </si>
  <si>
    <t>13500</t>
  </si>
  <si>
    <t>25920</t>
  </si>
  <si>
    <t>5740725.3</t>
  </si>
  <si>
    <t>32887.41</t>
  </si>
  <si>
    <t>4838.4</t>
  </si>
  <si>
    <t>47976.63</t>
  </si>
  <si>
    <t>5248.8</t>
  </si>
  <si>
    <t>1263.6</t>
  </si>
  <si>
    <t>2829.6</t>
  </si>
  <si>
    <t>146484</t>
  </si>
  <si>
    <t>175320</t>
  </si>
  <si>
    <t>25146</t>
  </si>
  <si>
    <t>11840.4</t>
  </si>
  <si>
    <t>23776.92</t>
  </si>
  <si>
    <t>309825</t>
  </si>
  <si>
    <t>57478.8</t>
  </si>
  <si>
    <t>129600</t>
  </si>
  <si>
    <t>1339200</t>
  </si>
  <si>
    <t>77977.8</t>
  </si>
  <si>
    <t>151746</t>
  </si>
  <si>
    <t>9085.68</t>
  </si>
  <si>
    <t>24222.24</t>
  </si>
  <si>
    <t>896445</t>
  </si>
  <si>
    <t>15961.14</t>
  </si>
  <si>
    <t>63267.3</t>
  </si>
  <si>
    <t>16666.2</t>
  </si>
  <si>
    <t>30132</t>
  </si>
  <si>
    <t>80352</t>
  </si>
  <si>
    <t>952200</t>
  </si>
  <si>
    <t>1050764.4</t>
  </si>
  <si>
    <t>6480</t>
  </si>
  <si>
    <t>9525.6</t>
  </si>
  <si>
    <t>8010</t>
  </si>
  <si>
    <t>131400</t>
  </si>
  <si>
    <t>200078.06</t>
  </si>
  <si>
    <t>42018.27</t>
  </si>
  <si>
    <t>6973.2</t>
  </si>
  <si>
    <t>96620.4</t>
  </si>
  <si>
    <t>270507.6</t>
  </si>
  <si>
    <t>696600</t>
  </si>
  <si>
    <t>4860</t>
  </si>
  <si>
    <t>158962.01</t>
  </si>
  <si>
    <t>186645.63</t>
  </si>
  <si>
    <t>16218</t>
  </si>
  <si>
    <t>3150</t>
  </si>
  <si>
    <t>33397.84</t>
  </si>
  <si>
    <t>23040</t>
  </si>
  <si>
    <t>33120</t>
  </si>
  <si>
    <t>56540.07</t>
  </si>
  <si>
    <t>333431.1</t>
  </si>
  <si>
    <t>106844.86</t>
  </si>
  <si>
    <t>1980</t>
  </si>
  <si>
    <t>1872</t>
  </si>
  <si>
    <t>136944</t>
  </si>
  <si>
    <t>594000</t>
  </si>
  <si>
    <t>198000</t>
  </si>
  <si>
    <t>151200</t>
  </si>
  <si>
    <t>62722.2</t>
  </si>
  <si>
    <t>78203.6</t>
  </si>
  <si>
    <t>73400</t>
  </si>
  <si>
    <t>451726.74</t>
  </si>
  <si>
    <t>235170</t>
  </si>
  <si>
    <t>1263600</t>
  </si>
  <si>
    <t>50% immediate &amp; balance 50% after commissioning</t>
  </si>
  <si>
    <t>03AAACL2561J1ZS</t>
  </si>
  <si>
    <t>03BFRPS7884B1ZZ</t>
  </si>
  <si>
    <t>06AACCO5637Q1ZW</t>
  </si>
  <si>
    <t>07AAHPA2561M1ZR</t>
  </si>
  <si>
    <t>07AAIPB6275E1ZV</t>
  </si>
  <si>
    <t>08AAACB8433D1ZY</t>
  </si>
  <si>
    <t>08AAAFA4685M1Z4</t>
  </si>
  <si>
    <t>08AAATK8046N1Z4</t>
  </si>
  <si>
    <t>08AARPJ8405B1ZQ</t>
  </si>
  <si>
    <t>08AGFPG8511M1Z7</t>
  </si>
  <si>
    <t>08AVMPS0500N2Z9</t>
  </si>
  <si>
    <t>08BPNPS5794E2Z4</t>
  </si>
  <si>
    <t>09AAACS7062F5Z8</t>
  </si>
  <si>
    <t>09AAFFA3406M2ZF</t>
  </si>
  <si>
    <t>09ADUPG5551H1Z5</t>
  </si>
  <si>
    <t>19AAACO4272H1ZD</t>
  </si>
  <si>
    <t>19AAJCS1455R1ZK</t>
  </si>
  <si>
    <t>20AAAAI0686DIZA</t>
  </si>
  <si>
    <t>21AAACL0140P4ZS</t>
  </si>
  <si>
    <t>27AAACU6055E1ZF</t>
  </si>
  <si>
    <t>27AACCP0388D1ZK</t>
  </si>
  <si>
    <t>27AAEFI9571N1ZN</t>
  </si>
  <si>
    <t>27ACZPR5182M1ZF</t>
  </si>
  <si>
    <t>29AAACB8433D1ZU</t>
  </si>
  <si>
    <t>33AAECB1545Q2Z1</t>
  </si>
  <si>
    <t>Supply, erection, testing &amp; commissioning of 1 Nos. of pit less Electronic Weighbridge of 100 MT capacity against GeM Custom bid no ::GEM/2021/B/1211640</t>
  </si>
  <si>
    <t>Conveyor Belt for Bedding Building Tripper</t>
  </si>
  <si>
    <t>Small Bearings - Shri Kaushlendra Sharma</t>
  </si>
  <si>
    <t>Bearings for concentrator plant - Shri B. K. Bamboria</t>
  </si>
  <si>
    <t>Operational Assistance for different processes of Concentrator Plant – KCC for 3 months</t>
  </si>
  <si>
    <t>Operational Assistance for different processes of Concentrator Plant - KCC</t>
  </si>
  <si>
    <t>Procurement of “Spares for 170HP Mather &amp; Platt, Model PLURO II, 8CHR ,dewatering pump for Khetri Mine”</t>
  </si>
  <si>
    <t>CABLE FOR NEWLY DEVELOPED 64 M/L &amp; 0 M/L OF KCM</t>
  </si>
  <si>
    <t>Bearing for Jaw crusher of KCC Mines - Shri A. K. Bera</t>
  </si>
  <si>
    <t>Procurement of Pumps for BEML Dozer BD355</t>
  </si>
  <si>
    <t>Procurement of “Brake Lining For Polish Winder of KCM</t>
  </si>
  <si>
    <t>SPECIAL PURPOSE BRANDED WELDING ELECTRODES FOR KCM</t>
  </si>
  <si>
    <t>Procurement of “Bearing housing assembly with bush for Disc screen shaft at KCM”</t>
  </si>
  <si>
    <t>Procurement of “Bush For Oscillating Jaw" at KCM</t>
  </si>
  <si>
    <t>Rate contract for Outsourcing of Pharmacy at KCC Hospital, Khetrinagar &amp; Kolihan Dispensary</t>
  </si>
  <si>
    <t>MISCELLANEOUS ITEMS FOR KHETRI MINE EQUIPMENTS</t>
  </si>
  <si>
    <t>Outsourcing the job of screening of 11000MT of Copper Concentrate in bedding building.(30% Quantity)</t>
  </si>
  <si>
    <t>Procurement of Cement</t>
  </si>
  <si>
    <t>Contract for outsourcing of the Repairing of bucket for Model 824 EIMCO Loader at KCC Mines for a period of one year</t>
  </si>
  <si>
    <t>Supply of Hi- Chrome Grinding Media Balls</t>
  </si>
  <si>
    <t>PIPE FITTINGS FOR KCM</t>
  </si>
  <si>
    <t>Starters for KCM Electrical</t>
  </si>
  <si>
    <t>AUTO ELECTRIC PARTS OF VEHICLES FOR KHETRI MINES</t>
  </si>
  <si>
    <t>SPARES FOR LOCO-LOADER &amp; GB CARS -KHETRI MINE</t>
  </si>
  <si>
    <t>ZINC INGOTS</t>
  </si>
  <si>
    <t>Diodes for Rectifiers of 920 KW Mill Motor</t>
  </si>
  <si>
    <t>V-Belts</t>
  </si>
  <si>
    <t>Axial Fan for Electrical Panels</t>
  </si>
  <si>
    <t>Refilling of Medical Oxygen Gas Cylinders for KCC Hospital</t>
  </si>
  <si>
    <t>Tender for Transportation Contract for Steel from SAIL-Ghaziabad to KCC Central Stores.</t>
  </si>
  <si>
    <t>ICTP for Central Electrical Maintenance Department</t>
  </si>
  <si>
    <t>PANTAGRAPH STRIP FOR LOCOMOTIVES</t>
  </si>
  <si>
    <t>Testing Instruments</t>
  </si>
  <si>
    <t>HRT (C) HYDRAULIC SPARES</t>
  </si>
  <si>
    <t>Bush For Swing Jaw at KCM</t>
  </si>
  <si>
    <t>Outsourcing of Maintenance Job of Dewatering Pump  of ‘’180’’ mRL and “0” mRL  in Khetri Copper Mines.</t>
  </si>
  <si>
    <t>Outsourcing of Maintenance Job of Dewatering Pump  of ‘’180’’ mRL and “0” mRL  in Khetri Copper Mines</t>
  </si>
  <si>
    <t>Shift Maintenance of Diesel equipment of KCM Mines Underground</t>
  </si>
  <si>
    <t>Contract for “Erection and commissioning of Grizzly Structure at 64Mrl KCM U/G"</t>
  </si>
  <si>
    <t>Hiring of Taxis for KCC and KCM on demand</t>
  </si>
  <si>
    <t>Outsourcing the job of screening of 11000MT of Copper Concentrate in bedding building (70% Quantity)</t>
  </si>
  <si>
    <t>Contract for Repair/Overhauling of pressurizing units of Concentrator Plant Electrical sub-station</t>
  </si>
  <si>
    <t>Bearing for Loco, Loader &amp; GB car at Khetri Mines -- Shri A.K. Bera</t>
  </si>
  <si>
    <t>Short Term Contract for Sampling and Associated Activities of KCM</t>
  </si>
  <si>
    <t>Bucket Assy for 824 Loader -- Shri A.K. Bera</t>
  </si>
  <si>
    <t>STEEL</t>
  </si>
  <si>
    <t>GIRTH GEAR FOR ROD MILL</t>
  </si>
  <si>
    <t>safety leather shoes for plant</t>
  </si>
  <si>
    <t>Appointment of Chartered Engineer for physical verification of Inventory as on 31.03.2022 for physical verification during F.Y. 2021-22</t>
  </si>
  <si>
    <t>COOLANT AND FILTERS FOR IR COMPRESSORS MODEL -R160i-7AC RUNNING AT KCM</t>
  </si>
  <si>
    <t>Spares for IR screw compressor Model- R160i-7.5AC</t>
  </si>
  <si>
    <t>Spares for Kirloskar - Hitachi Model BTD B3M Compressor -- Shri A.K. Bera</t>
  </si>
  <si>
    <t>Hoses For Rock Breakers at KCM</t>
  </si>
  <si>
    <t>Big Bearings -- Shri Kaushlendra Sharma</t>
  </si>
  <si>
    <t>TRACK LINE ITEMS</t>
  </si>
  <si>
    <t>4"(100MM) NB CI DOUBLE FLANGED WHEEL VALVE GRADE 15, CONFORMING TO IS 14846/BS 1414/API 600, HYDRAULICALLY TESTED AT PRESSURE 300 PSI</t>
  </si>
  <si>
    <t>Detailed feasibility study for Chandmari Intervening Block (CIB) laying between Chandmari Open Pit and Kolihan Copper Mine (UG) at Khetri Copper Complex of Hindustan Copper Limited.</t>
  </si>
  <si>
    <t>APRON FEEDER OF OML FOR 64 ML PRODUCTION</t>
  </si>
  <si>
    <t>FOOT VALVES FOR KCM</t>
  </si>
  <si>
    <t>25 mm Emulsion Explosive</t>
  </si>
  <si>
    <t>83 mm Sluury Explosive</t>
  </si>
  <si>
    <t>BEARING</t>
  </si>
  <si>
    <t>Big Bearings</t>
  </si>
  <si>
    <t>60 lbs RAIL / TRACK LINE FOR KOLIHAN COPPER MINE</t>
  </si>
  <si>
    <t>ARC FOR RUBBER LINING, BELT VULCANIZING, PULLEY LAGGING &amp; TUBE PATCHING IN CONCENTRATOR PLANT &amp; MINES.</t>
  </si>
  <si>
    <t>Spares for Flocculant Dosing Pump for Tailing</t>
  </si>
  <si>
    <t>Injector for Komatsu Loader WA500</t>
  </si>
  <si>
    <t>STATIONERY ITEMS</t>
  </si>
  <si>
    <t>5.4 TON GB - CAR FOR KHETRI MINE</t>
  </si>
  <si>
    <t>Spares for AVTEC Transmission model- TRT 2211-3 for Eimco Elecon LHD 912B</t>
  </si>
  <si>
    <t>05-APR-22</t>
  </si>
  <si>
    <t>21-MAR-22</t>
  </si>
  <si>
    <t>23-MAR-22</t>
  </si>
  <si>
    <t>04-APR-22</t>
  </si>
  <si>
    <t>04-MAR-22</t>
  </si>
  <si>
    <t>26-MAR-22</t>
  </si>
  <si>
    <t>16-MAR-22</t>
  </si>
  <si>
    <t>09-MAR-22</t>
  </si>
  <si>
    <t>31-MAR-22</t>
  </si>
  <si>
    <t>26-FEB-22</t>
  </si>
  <si>
    <t>21-FEB-22</t>
  </si>
  <si>
    <t>10-DEC-20</t>
  </si>
  <si>
    <t>22-FEB-22</t>
  </si>
  <si>
    <t>25-FEB-22</t>
  </si>
  <si>
    <t>10-MAR-22</t>
  </si>
  <si>
    <t>24-FEB-22</t>
  </si>
  <si>
    <t>01-MAR-22</t>
  </si>
  <si>
    <t>11-MAR-22</t>
  </si>
  <si>
    <t>17-MAR-22</t>
  </si>
  <si>
    <t>23-FEB-22</t>
  </si>
  <si>
    <t>24-MAR-22</t>
  </si>
  <si>
    <t>19-JUN-21</t>
  </si>
  <si>
    <t>25-MAR-22</t>
  </si>
  <si>
    <t>24-FEB-21</t>
  </si>
  <si>
    <t>01-MAR-21</t>
  </si>
  <si>
    <t>28-MAR-22</t>
  </si>
  <si>
    <t>14-MAR-22</t>
  </si>
  <si>
    <t>29-MAR-22</t>
  </si>
  <si>
    <t>22-MAR-22</t>
  </si>
  <si>
    <t>08-MAR-22</t>
  </si>
  <si>
    <t>07-MAR-22</t>
  </si>
  <si>
    <t>01-APR-22</t>
  </si>
  <si>
    <t>02-APR-22</t>
  </si>
  <si>
    <t>28-FEB-22</t>
  </si>
  <si>
    <t>248735.7</t>
  </si>
  <si>
    <t>83835</t>
  </si>
  <si>
    <t>567.9</t>
  </si>
  <si>
    <t>13736544.14</t>
  </si>
  <si>
    <t>177.12</t>
  </si>
  <si>
    <t>1112856.28</t>
  </si>
  <si>
    <t>1079399.23</t>
  </si>
  <si>
    <t>418905.97</t>
  </si>
  <si>
    <t>325800</t>
  </si>
  <si>
    <t>152827.56</t>
  </si>
  <si>
    <t>104759.28</t>
  </si>
  <si>
    <t>4959974.91</t>
  </si>
  <si>
    <t>34091230.35</t>
  </si>
  <si>
    <t>44100</t>
  </si>
  <si>
    <t>18252</t>
  </si>
  <si>
    <t>27853.56</t>
  </si>
  <si>
    <t>132543.6</t>
  </si>
  <si>
    <t>138600</t>
  </si>
  <si>
    <t>2111022.12</t>
  </si>
  <si>
    <t>280337017.78</t>
  </si>
  <si>
    <t>231466100.28</t>
  </si>
  <si>
    <t>600054157.34</t>
  </si>
  <si>
    <t>21445.38</t>
  </si>
  <si>
    <t>453275.1</t>
  </si>
  <si>
    <t>77053.68</t>
  </si>
  <si>
    <t>147840</t>
  </si>
  <si>
    <t>51597</t>
  </si>
  <si>
    <t>562969.72</t>
  </si>
  <si>
    <t>16721654.2</t>
  </si>
  <si>
    <t>7419.6</t>
  </si>
  <si>
    <t>21430.8</t>
  </si>
  <si>
    <t>44240</t>
  </si>
  <si>
    <t>45495.9</t>
  </si>
  <si>
    <t>183384</t>
  </si>
  <si>
    <t>2907</t>
  </si>
  <si>
    <t>65538</t>
  </si>
  <si>
    <t>9254.88</t>
  </si>
  <si>
    <t>3141</t>
  </si>
  <si>
    <t>9000</t>
  </si>
  <si>
    <t>75527.78</t>
  </si>
  <si>
    <t>68941.26</t>
  </si>
  <si>
    <t>17771.4</t>
  </si>
  <si>
    <t>8055</t>
  </si>
  <si>
    <t>2637</t>
  </si>
  <si>
    <t>17640</t>
  </si>
  <si>
    <t>14036.4</t>
  </si>
  <si>
    <t>950.4</t>
  </si>
  <si>
    <t>833929.34</t>
  </si>
  <si>
    <t>249696.18</t>
  </si>
  <si>
    <t>236556</t>
  </si>
  <si>
    <t>805503.48</t>
  </si>
  <si>
    <t>1826649.78</t>
  </si>
  <si>
    <t>218196</t>
  </si>
  <si>
    <t>21149.16</t>
  </si>
  <si>
    <t>822681.6</t>
  </si>
  <si>
    <t>224517.06</t>
  </si>
  <si>
    <t>179791.92</t>
  </si>
  <si>
    <t>35775.9</t>
  </si>
  <si>
    <t>119754</t>
  </si>
  <si>
    <t>40578.3</t>
  </si>
  <si>
    <t>263522.7</t>
  </si>
  <si>
    <t>118108.9</t>
  </si>
  <si>
    <t>79331.4</t>
  </si>
  <si>
    <t>237440.1</t>
  </si>
  <si>
    <t>958500</t>
  </si>
  <si>
    <t>73526.4</t>
  </si>
  <si>
    <t>12165.66</t>
  </si>
  <si>
    <t>94022.09</t>
  </si>
  <si>
    <t>110868.65</t>
  </si>
  <si>
    <t>112220.52</t>
  </si>
  <si>
    <t>10821.06</t>
  </si>
  <si>
    <t>26345.52</t>
  </si>
  <si>
    <t>18928.8</t>
  </si>
  <si>
    <t>22968</t>
  </si>
  <si>
    <t>533076.84</t>
  </si>
  <si>
    <t>6156000</t>
  </si>
  <si>
    <t>2160</t>
  </si>
  <si>
    <t>696636</t>
  </si>
  <si>
    <t>975600</t>
  </si>
  <si>
    <t>37852.2</t>
  </si>
  <si>
    <t>38727</t>
  </si>
  <si>
    <t>6051.42</t>
  </si>
  <si>
    <t>20008.44</t>
  </si>
  <si>
    <t>6221.16</t>
  </si>
  <si>
    <t>945558</t>
  </si>
  <si>
    <t>3690</t>
  </si>
  <si>
    <t>242631.9</t>
  </si>
  <si>
    <t>51821.54</t>
  </si>
  <si>
    <t>86032.8</t>
  </si>
  <si>
    <t>5418</t>
  </si>
  <si>
    <t>4480.29</t>
  </si>
  <si>
    <t>5100016</t>
  </si>
  <si>
    <t>1350</t>
  </si>
  <si>
    <t>28206</t>
  </si>
  <si>
    <t>100%against LC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</si>
</sst>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2" xfId="0" applyNumberFormat="1" applyFont="1" applyFill="1" applyBorder="1"/>
    <xf numFmtId="0" fontId="0" fillId="0" borderId="3" xfId="0" applyFont="1" applyFill="1" applyBorder="1"/>
    <xf numFmtId="49" fontId="0" fillId="0" borderId="3" xfId="0" applyNumberFormat="1" applyFont="1" applyFill="1" applyBorder="1"/>
    <xf numFmtId="164" fontId="0" fillId="0" borderId="4" xfId="0" applyNumberFormat="1" applyFont="1" applyFill="1" applyBorder="1"/>
    <xf numFmtId="0" fontId="0" fillId="0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ill="1"/>
    <xf numFmtId="49" fontId="0" fillId="0" borderId="5" xfId="0" applyNumberFormat="1" applyFont="1" applyFill="1" applyBorder="1"/>
    <xf numFmtId="49" fontId="0" fillId="0" borderId="3" xfId="0" applyNumberFormat="1" applyFill="1" applyBorder="1"/>
    <xf numFmtId="49" fontId="1" fillId="0" borderId="3" xfId="0" applyNumberFormat="1" applyFont="1" applyFill="1" applyBorder="1"/>
    <xf numFmtId="49" fontId="0" fillId="0" borderId="6" xfId="0" applyNumberFormat="1" applyFont="1" applyFill="1" applyBorder="1"/>
    <xf numFmtId="0" fontId="0" fillId="0" borderId="9" xfId="0" applyFont="1" applyFill="1" applyBorder="1"/>
    <xf numFmtId="49" fontId="0" fillId="0" borderId="9" xfId="0" applyNumberFormat="1" applyFont="1" applyFill="1" applyBorder="1"/>
    <xf numFmtId="49" fontId="0" fillId="0" borderId="12" xfId="0" applyNumberFormat="1" applyFont="1" applyFill="1" applyBorder="1"/>
    <xf numFmtId="49" fontId="0" fillId="0" borderId="7" xfId="0" applyNumberFormat="1" applyFont="1" applyFill="1" applyBorder="1"/>
    <xf numFmtId="0" fontId="0" fillId="0" borderId="10" xfId="0" applyFont="1" applyFill="1" applyBorder="1"/>
    <xf numFmtId="49" fontId="0" fillId="0" borderId="10" xfId="0" applyNumberFormat="1" applyFont="1" applyFill="1" applyBorder="1"/>
    <xf numFmtId="49" fontId="0" fillId="0" borderId="13" xfId="0" applyNumberFormat="1" applyFont="1" applyFill="1" applyBorder="1"/>
    <xf numFmtId="49" fontId="0" fillId="0" borderId="8" xfId="0" applyNumberFormat="1" applyFont="1" applyFill="1" applyBorder="1"/>
    <xf numFmtId="0" fontId="0" fillId="0" borderId="11" xfId="0" applyFont="1" applyFill="1" applyBorder="1"/>
    <xf numFmtId="49" fontId="0" fillId="0" borderId="11" xfId="0" applyNumberFormat="1" applyFont="1" applyFill="1" applyBorder="1"/>
    <xf numFmtId="49" fontId="0" fillId="0" borderId="0" xfId="0" applyNumberFormat="1" applyFont="1" applyFill="1"/>
    <xf numFmtId="49" fontId="0" fillId="0" borderId="14" xfId="0" applyNumberFormat="1" applyFont="1" applyFill="1" applyBorder="1"/>
    <xf numFmtId="49" fontId="0" fillId="0" borderId="15" xfId="0" applyNumberFormat="1" applyFont="1" applyFill="1" applyBorder="1"/>
    <xf numFmtId="49" fontId="0" fillId="0" borderId="1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4"/>
  <sheetViews>
    <sheetView tabSelected="1" workbookViewId="0">
      <pane ySplit="1" topLeftCell="A437" activePane="bottomLeft" state="frozen"/>
      <selection pane="bottomLeft" activeCell="A455" sqref="A455"/>
    </sheetView>
  </sheetViews>
  <sheetFormatPr defaultRowHeight="15"/>
  <cols>
    <col min="1" max="1" width="22.140625" bestFit="1" customWidth="1"/>
    <col min="2" max="2" width="12.5703125" bestFit="1" customWidth="1"/>
    <col min="3" max="3" width="19" bestFit="1" customWidth="1"/>
    <col min="4" max="4" width="11.42578125" bestFit="1" customWidth="1"/>
    <col min="5" max="5" width="79.5703125" customWidth="1"/>
    <col min="6" max="6" width="17.85546875" bestFit="1" customWidth="1"/>
    <col min="7" max="7" width="16.85546875" bestFit="1" customWidth="1"/>
    <col min="8" max="8" width="29.140625" bestFit="1" customWidth="1"/>
    <col min="9" max="9" width="29.85546875" bestFit="1" customWidth="1"/>
    <col min="10" max="10" width="20" bestFit="1" customWidth="1"/>
    <col min="11" max="11" width="13.140625" bestFit="1" customWidth="1"/>
    <col min="12" max="13" width="12" bestFit="1" customWidth="1"/>
    <col min="14" max="14" width="45.28515625" bestFit="1" customWidth="1"/>
    <col min="15" max="19" width="13.140625" bestFit="1" customWidth="1"/>
    <col min="20" max="20" width="11" bestFit="1" customWidth="1"/>
    <col min="21" max="21" width="12.5703125" bestFit="1" customWidth="1"/>
    <col min="22" max="22" width="11.5703125" bestFit="1" customWidth="1"/>
    <col min="23" max="27" width="19.285156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3" t="s">
        <v>54</v>
      </c>
      <c r="B2" s="14">
        <v>29027</v>
      </c>
      <c r="C2" s="15" t="s">
        <v>55</v>
      </c>
      <c r="D2" s="14">
        <v>10436</v>
      </c>
      <c r="E2" s="15" t="s">
        <v>221</v>
      </c>
      <c r="F2" s="15" t="s">
        <v>534</v>
      </c>
      <c r="G2" s="5"/>
      <c r="H2" s="15" t="s">
        <v>33</v>
      </c>
      <c r="I2" s="15" t="s">
        <v>34</v>
      </c>
      <c r="J2" s="15" t="s">
        <v>770</v>
      </c>
      <c r="K2" s="14">
        <v>152820</v>
      </c>
      <c r="L2" s="16" t="s">
        <v>773</v>
      </c>
      <c r="M2" s="9">
        <f t="shared" ref="M2:M65" si="0">+K2+L2</f>
        <v>180327.6</v>
      </c>
      <c r="N2" s="15" t="s">
        <v>28</v>
      </c>
    </row>
    <row r="3" spans="1:27">
      <c r="A3" s="17" t="s">
        <v>54</v>
      </c>
      <c r="B3" s="18">
        <v>19483</v>
      </c>
      <c r="C3" s="19" t="s">
        <v>56</v>
      </c>
      <c r="D3" s="18">
        <v>8136</v>
      </c>
      <c r="E3" s="19" t="s">
        <v>222</v>
      </c>
      <c r="F3" s="19" t="s">
        <v>535</v>
      </c>
      <c r="G3" s="5"/>
      <c r="H3" s="19" t="s">
        <v>751</v>
      </c>
      <c r="I3" s="19" t="s">
        <v>765</v>
      </c>
      <c r="J3" s="19" t="s">
        <v>770</v>
      </c>
      <c r="K3" s="18">
        <v>28692003.434</v>
      </c>
      <c r="L3" s="20" t="s">
        <v>774</v>
      </c>
      <c r="M3" s="9">
        <f t="shared" si="0"/>
        <v>33856564.034000002</v>
      </c>
      <c r="N3" s="19" t="s">
        <v>28</v>
      </c>
    </row>
    <row r="4" spans="1:27">
      <c r="A4" s="17" t="s">
        <v>54</v>
      </c>
      <c r="B4" s="18">
        <v>19483</v>
      </c>
      <c r="C4" s="19" t="s">
        <v>56</v>
      </c>
      <c r="D4" s="18">
        <v>8628</v>
      </c>
      <c r="E4" s="19" t="s">
        <v>223</v>
      </c>
      <c r="F4" s="19" t="s">
        <v>536</v>
      </c>
      <c r="G4" s="5"/>
      <c r="H4" s="19" t="s">
        <v>751</v>
      </c>
      <c r="I4" s="19" t="s">
        <v>765</v>
      </c>
      <c r="J4" s="19" t="s">
        <v>770</v>
      </c>
      <c r="K4" s="18">
        <v>26087181.739999998</v>
      </c>
      <c r="L4" s="20" t="s">
        <v>775</v>
      </c>
      <c r="M4" s="9">
        <f t="shared" si="0"/>
        <v>30782874.439999998</v>
      </c>
      <c r="N4" s="19" t="s">
        <v>28</v>
      </c>
    </row>
    <row r="5" spans="1:27">
      <c r="A5" s="17" t="s">
        <v>54</v>
      </c>
      <c r="B5" s="18">
        <v>28694</v>
      </c>
      <c r="C5" s="19" t="s">
        <v>57</v>
      </c>
      <c r="D5" s="18">
        <v>10418</v>
      </c>
      <c r="E5" s="19" t="s">
        <v>224</v>
      </c>
      <c r="F5" s="19" t="s">
        <v>537</v>
      </c>
      <c r="G5" s="5"/>
      <c r="H5" s="19" t="s">
        <v>752</v>
      </c>
      <c r="I5" s="19" t="s">
        <v>34</v>
      </c>
      <c r="J5" s="19" t="s">
        <v>770</v>
      </c>
      <c r="K5" s="18">
        <v>580400</v>
      </c>
      <c r="L5" s="20" t="s">
        <v>776</v>
      </c>
      <c r="M5" s="9">
        <f t="shared" si="0"/>
        <v>684872</v>
      </c>
      <c r="N5" s="19" t="s">
        <v>28</v>
      </c>
    </row>
    <row r="6" spans="1:27">
      <c r="A6" s="17" t="s">
        <v>54</v>
      </c>
      <c r="B6" s="18">
        <v>29112</v>
      </c>
      <c r="C6" s="19" t="s">
        <v>58</v>
      </c>
      <c r="D6" s="18">
        <v>10480</v>
      </c>
      <c r="E6" s="19" t="s">
        <v>225</v>
      </c>
      <c r="F6" s="19" t="s">
        <v>538</v>
      </c>
      <c r="G6" s="5"/>
      <c r="H6" s="19" t="s">
        <v>753</v>
      </c>
      <c r="I6" s="19" t="s">
        <v>34</v>
      </c>
      <c r="J6" s="19" t="s">
        <v>770</v>
      </c>
      <c r="K6" s="18">
        <v>218046</v>
      </c>
      <c r="L6" s="20" t="s">
        <v>777</v>
      </c>
      <c r="M6" s="9">
        <f t="shared" si="0"/>
        <v>245161.91999999998</v>
      </c>
      <c r="N6" s="19" t="s">
        <v>29</v>
      </c>
    </row>
    <row r="7" spans="1:27">
      <c r="A7" s="17" t="s">
        <v>54</v>
      </c>
      <c r="B7" s="18">
        <v>28880</v>
      </c>
      <c r="C7" s="19" t="s">
        <v>59</v>
      </c>
      <c r="D7" s="18">
        <v>10168</v>
      </c>
      <c r="E7" s="19" t="s">
        <v>226</v>
      </c>
      <c r="F7" s="19" t="s">
        <v>539</v>
      </c>
      <c r="G7" s="5"/>
      <c r="H7" s="19" t="s">
        <v>754</v>
      </c>
      <c r="I7" s="19" t="s">
        <v>34</v>
      </c>
      <c r="J7" s="19" t="s">
        <v>770</v>
      </c>
      <c r="K7" s="18">
        <v>298000</v>
      </c>
      <c r="L7" s="20" t="s">
        <v>778</v>
      </c>
      <c r="M7" s="9">
        <f t="shared" si="0"/>
        <v>358672.8</v>
      </c>
      <c r="N7" s="19" t="s">
        <v>40</v>
      </c>
    </row>
    <row r="8" spans="1:27">
      <c r="A8" s="17" t="s">
        <v>54</v>
      </c>
      <c r="B8" s="18">
        <v>2449</v>
      </c>
      <c r="C8" s="19" t="s">
        <v>60</v>
      </c>
      <c r="D8" s="18">
        <v>10528</v>
      </c>
      <c r="E8" s="19" t="s">
        <v>227</v>
      </c>
      <c r="F8" s="19" t="s">
        <v>540</v>
      </c>
      <c r="G8" s="5"/>
      <c r="H8" s="19" t="s">
        <v>752</v>
      </c>
      <c r="I8" s="19" t="s">
        <v>34</v>
      </c>
      <c r="J8" s="19" t="s">
        <v>770</v>
      </c>
      <c r="K8" s="18">
        <v>4617900</v>
      </c>
      <c r="L8" s="20" t="s">
        <v>779</v>
      </c>
      <c r="M8" s="9">
        <f t="shared" si="0"/>
        <v>5449122</v>
      </c>
      <c r="N8" s="19" t="s">
        <v>28</v>
      </c>
    </row>
    <row r="9" spans="1:27">
      <c r="A9" s="17" t="s">
        <v>54</v>
      </c>
      <c r="B9" s="18">
        <v>23208</v>
      </c>
      <c r="C9" s="19" t="s">
        <v>61</v>
      </c>
      <c r="D9" s="18">
        <v>10113</v>
      </c>
      <c r="E9" s="19" t="s">
        <v>228</v>
      </c>
      <c r="F9" s="19" t="s">
        <v>541</v>
      </c>
      <c r="G9" s="5"/>
      <c r="H9" s="19" t="s">
        <v>755</v>
      </c>
      <c r="I9" s="19" t="s">
        <v>34</v>
      </c>
      <c r="J9" s="19" t="s">
        <v>770</v>
      </c>
      <c r="K9" s="18">
        <v>68250000</v>
      </c>
      <c r="L9" s="20" t="s">
        <v>780</v>
      </c>
      <c r="M9" s="9">
        <f t="shared" si="0"/>
        <v>80535000</v>
      </c>
      <c r="N9" s="19" t="s">
        <v>28</v>
      </c>
    </row>
    <row r="10" spans="1:27">
      <c r="A10" s="17" t="s">
        <v>54</v>
      </c>
      <c r="B10" s="18">
        <v>1236</v>
      </c>
      <c r="C10" s="19" t="s">
        <v>62</v>
      </c>
      <c r="D10" s="18">
        <v>9657</v>
      </c>
      <c r="E10" s="19" t="s">
        <v>229</v>
      </c>
      <c r="F10" s="19" t="s">
        <v>542</v>
      </c>
      <c r="G10" s="5"/>
      <c r="H10" s="19" t="s">
        <v>751</v>
      </c>
      <c r="I10" s="19" t="s">
        <v>765</v>
      </c>
      <c r="J10" s="19" t="s">
        <v>770</v>
      </c>
      <c r="K10" s="18">
        <v>1147370</v>
      </c>
      <c r="L10" s="20" t="s">
        <v>781</v>
      </c>
      <c r="M10" s="9">
        <f t="shared" si="0"/>
        <v>1353896.6</v>
      </c>
      <c r="N10" s="19" t="s">
        <v>28</v>
      </c>
    </row>
    <row r="11" spans="1:27">
      <c r="A11" s="17" t="s">
        <v>54</v>
      </c>
      <c r="B11" s="18">
        <v>1236</v>
      </c>
      <c r="C11" s="19" t="s">
        <v>62</v>
      </c>
      <c r="D11" s="18">
        <v>10540</v>
      </c>
      <c r="E11" s="19" t="s">
        <v>230</v>
      </c>
      <c r="F11" s="19" t="s">
        <v>543</v>
      </c>
      <c r="G11" s="5"/>
      <c r="H11" s="19" t="s">
        <v>755</v>
      </c>
      <c r="I11" s="19" t="s">
        <v>34</v>
      </c>
      <c r="J11" s="19" t="s">
        <v>770</v>
      </c>
      <c r="K11" s="18">
        <v>168952.7</v>
      </c>
      <c r="L11" s="20" t="s">
        <v>782</v>
      </c>
      <c r="M11" s="9">
        <f t="shared" si="0"/>
        <v>199364.18000000002</v>
      </c>
      <c r="N11" s="19" t="s">
        <v>28</v>
      </c>
    </row>
    <row r="12" spans="1:27">
      <c r="A12" s="17" t="s">
        <v>54</v>
      </c>
      <c r="B12" s="18">
        <v>24595</v>
      </c>
      <c r="C12" s="19" t="s">
        <v>63</v>
      </c>
      <c r="D12" s="18">
        <v>10601</v>
      </c>
      <c r="E12" s="19" t="s">
        <v>231</v>
      </c>
      <c r="F12" s="19" t="s">
        <v>544</v>
      </c>
      <c r="G12" s="5"/>
      <c r="H12" s="19" t="s">
        <v>753</v>
      </c>
      <c r="I12" s="19" t="s">
        <v>34</v>
      </c>
      <c r="J12" s="19" t="s">
        <v>770</v>
      </c>
      <c r="K12" s="18">
        <v>114050</v>
      </c>
      <c r="L12" s="20" t="s">
        <v>783</v>
      </c>
      <c r="M12" s="9">
        <f t="shared" si="0"/>
        <v>128276</v>
      </c>
      <c r="N12" s="19" t="s">
        <v>29</v>
      </c>
    </row>
    <row r="13" spans="1:27">
      <c r="A13" s="17" t="s">
        <v>54</v>
      </c>
      <c r="B13" s="18">
        <v>24595</v>
      </c>
      <c r="C13" s="19" t="s">
        <v>63</v>
      </c>
      <c r="D13" s="18">
        <v>10247</v>
      </c>
      <c r="E13" s="19" t="s">
        <v>232</v>
      </c>
      <c r="F13" s="19" t="s">
        <v>545</v>
      </c>
      <c r="G13" s="5"/>
      <c r="H13" s="19" t="s">
        <v>753</v>
      </c>
      <c r="I13" s="19" t="s">
        <v>34</v>
      </c>
      <c r="J13" s="19" t="s">
        <v>770</v>
      </c>
      <c r="K13" s="18">
        <v>46180</v>
      </c>
      <c r="L13" s="20" t="s">
        <v>784</v>
      </c>
      <c r="M13" s="9">
        <f t="shared" si="0"/>
        <v>51721.599999999999</v>
      </c>
      <c r="N13" s="19" t="s">
        <v>29</v>
      </c>
    </row>
    <row r="14" spans="1:27">
      <c r="A14" s="17" t="s">
        <v>54</v>
      </c>
      <c r="B14" s="18">
        <v>520</v>
      </c>
      <c r="C14" s="19" t="s">
        <v>64</v>
      </c>
      <c r="D14" s="18">
        <v>9457</v>
      </c>
      <c r="E14" s="19" t="s">
        <v>233</v>
      </c>
      <c r="F14" s="19" t="s">
        <v>546</v>
      </c>
      <c r="G14" s="5"/>
      <c r="H14" s="19" t="s">
        <v>751</v>
      </c>
      <c r="I14" s="19" t="s">
        <v>765</v>
      </c>
      <c r="J14" s="19" t="s">
        <v>770</v>
      </c>
      <c r="K14" s="18">
        <v>7288805</v>
      </c>
      <c r="L14" s="20" t="s">
        <v>785</v>
      </c>
      <c r="M14" s="9">
        <f t="shared" si="0"/>
        <v>8600789.9000000004</v>
      </c>
      <c r="N14" s="19" t="s">
        <v>28</v>
      </c>
    </row>
    <row r="15" spans="1:27">
      <c r="A15" s="17" t="s">
        <v>54</v>
      </c>
      <c r="B15" s="18">
        <v>520</v>
      </c>
      <c r="C15" s="19" t="s">
        <v>64</v>
      </c>
      <c r="D15" s="18">
        <v>9975</v>
      </c>
      <c r="E15" s="19" t="s">
        <v>234</v>
      </c>
      <c r="F15" s="19" t="s">
        <v>547</v>
      </c>
      <c r="G15" s="5"/>
      <c r="H15" s="19" t="s">
        <v>755</v>
      </c>
      <c r="I15" s="19" t="s">
        <v>34</v>
      </c>
      <c r="J15" s="19" t="s">
        <v>770</v>
      </c>
      <c r="K15" s="18">
        <v>2645903.7000000002</v>
      </c>
      <c r="L15" s="20" t="s">
        <v>786</v>
      </c>
      <c r="M15" s="9">
        <f t="shared" si="0"/>
        <v>3122166.3800000004</v>
      </c>
      <c r="N15" s="19" t="s">
        <v>28</v>
      </c>
    </row>
    <row r="16" spans="1:27">
      <c r="A16" s="17" t="s">
        <v>54</v>
      </c>
      <c r="B16" s="18">
        <v>520</v>
      </c>
      <c r="C16" s="19" t="s">
        <v>64</v>
      </c>
      <c r="D16" s="18">
        <v>10369</v>
      </c>
      <c r="E16" s="19" t="s">
        <v>235</v>
      </c>
      <c r="F16" s="19" t="s">
        <v>548</v>
      </c>
      <c r="G16" s="5"/>
      <c r="H16" s="19" t="s">
        <v>33</v>
      </c>
      <c r="I16" s="19" t="s">
        <v>34</v>
      </c>
      <c r="J16" s="19" t="s">
        <v>770</v>
      </c>
      <c r="K16" s="18">
        <v>288000</v>
      </c>
      <c r="L16" s="20" t="s">
        <v>787</v>
      </c>
      <c r="M16" s="9">
        <f t="shared" si="0"/>
        <v>339840</v>
      </c>
      <c r="N16" s="19" t="s">
        <v>28</v>
      </c>
    </row>
    <row r="17" spans="1:14">
      <c r="A17" s="17" t="s">
        <v>54</v>
      </c>
      <c r="B17" s="18">
        <v>520</v>
      </c>
      <c r="C17" s="19" t="s">
        <v>64</v>
      </c>
      <c r="D17" s="18">
        <v>9823</v>
      </c>
      <c r="E17" s="19" t="s">
        <v>236</v>
      </c>
      <c r="F17" s="19" t="s">
        <v>549</v>
      </c>
      <c r="G17" s="5"/>
      <c r="H17" s="19" t="s">
        <v>755</v>
      </c>
      <c r="I17" s="19" t="s">
        <v>34</v>
      </c>
      <c r="J17" s="19" t="s">
        <v>770</v>
      </c>
      <c r="K17" s="18">
        <v>389160</v>
      </c>
      <c r="L17" s="20" t="s">
        <v>788</v>
      </c>
      <c r="M17" s="9">
        <f t="shared" si="0"/>
        <v>459208.8</v>
      </c>
      <c r="N17" s="19" t="s">
        <v>28</v>
      </c>
    </row>
    <row r="18" spans="1:14">
      <c r="A18" s="17" t="s">
        <v>54</v>
      </c>
      <c r="B18" s="18">
        <v>520</v>
      </c>
      <c r="C18" s="19" t="s">
        <v>64</v>
      </c>
      <c r="D18" s="18">
        <v>10199</v>
      </c>
      <c r="E18" s="19" t="s">
        <v>237</v>
      </c>
      <c r="F18" s="19" t="s">
        <v>550</v>
      </c>
      <c r="G18" s="5"/>
      <c r="H18" s="19" t="s">
        <v>755</v>
      </c>
      <c r="I18" s="19" t="s">
        <v>34</v>
      </c>
      <c r="J18" s="19" t="s">
        <v>770</v>
      </c>
      <c r="K18" s="18">
        <v>1540480</v>
      </c>
      <c r="L18" s="20" t="s">
        <v>789</v>
      </c>
      <c r="M18" s="9">
        <f t="shared" si="0"/>
        <v>1817766.4</v>
      </c>
      <c r="N18" s="19" t="s">
        <v>28</v>
      </c>
    </row>
    <row r="19" spans="1:14">
      <c r="A19" s="17" t="s">
        <v>54</v>
      </c>
      <c r="B19" s="18">
        <v>520</v>
      </c>
      <c r="C19" s="19" t="s">
        <v>64</v>
      </c>
      <c r="D19" s="18">
        <v>10237</v>
      </c>
      <c r="E19" s="19" t="s">
        <v>238</v>
      </c>
      <c r="F19" s="19" t="s">
        <v>551</v>
      </c>
      <c r="G19" s="5"/>
      <c r="H19" s="19" t="s">
        <v>755</v>
      </c>
      <c r="I19" s="19" t="s">
        <v>34</v>
      </c>
      <c r="J19" s="19" t="s">
        <v>770</v>
      </c>
      <c r="K19" s="18">
        <v>2651974</v>
      </c>
      <c r="L19" s="20" t="s">
        <v>790</v>
      </c>
      <c r="M19" s="9">
        <f t="shared" si="0"/>
        <v>3129329.32</v>
      </c>
      <c r="N19" s="19" t="s">
        <v>28</v>
      </c>
    </row>
    <row r="20" spans="1:14">
      <c r="A20" s="17" t="s">
        <v>54</v>
      </c>
      <c r="B20" s="18">
        <v>520</v>
      </c>
      <c r="C20" s="19" t="s">
        <v>64</v>
      </c>
      <c r="D20" s="18">
        <v>10361</v>
      </c>
      <c r="E20" s="19" t="s">
        <v>239</v>
      </c>
      <c r="F20" s="19" t="s">
        <v>552</v>
      </c>
      <c r="G20" s="5"/>
      <c r="H20" s="19" t="s">
        <v>755</v>
      </c>
      <c r="I20" s="19" t="s">
        <v>34</v>
      </c>
      <c r="J20" s="19" t="s">
        <v>770</v>
      </c>
      <c r="K20" s="18">
        <v>791688</v>
      </c>
      <c r="L20" s="20" t="s">
        <v>791</v>
      </c>
      <c r="M20" s="9">
        <f t="shared" si="0"/>
        <v>934191.84</v>
      </c>
      <c r="N20" s="19" t="s">
        <v>28</v>
      </c>
    </row>
    <row r="21" spans="1:14">
      <c r="A21" s="17" t="s">
        <v>54</v>
      </c>
      <c r="B21" s="18">
        <v>520</v>
      </c>
      <c r="C21" s="19" t="s">
        <v>64</v>
      </c>
      <c r="D21" s="18">
        <v>10277</v>
      </c>
      <c r="E21" s="19" t="s">
        <v>233</v>
      </c>
      <c r="F21" s="19" t="s">
        <v>553</v>
      </c>
      <c r="G21" s="5"/>
      <c r="H21" s="19" t="s">
        <v>755</v>
      </c>
      <c r="I21" s="19" t="s">
        <v>34</v>
      </c>
      <c r="J21" s="19" t="s">
        <v>770</v>
      </c>
      <c r="K21" s="18">
        <v>6351900</v>
      </c>
      <c r="L21" s="20" t="s">
        <v>792</v>
      </c>
      <c r="M21" s="9">
        <f t="shared" si="0"/>
        <v>7495242</v>
      </c>
      <c r="N21" s="19" t="s">
        <v>28</v>
      </c>
    </row>
    <row r="22" spans="1:14">
      <c r="A22" s="17" t="s">
        <v>54</v>
      </c>
      <c r="B22" s="18">
        <v>520</v>
      </c>
      <c r="C22" s="19" t="s">
        <v>64</v>
      </c>
      <c r="D22" s="18">
        <v>10357</v>
      </c>
      <c r="E22" s="19" t="s">
        <v>240</v>
      </c>
      <c r="F22" s="19" t="s">
        <v>554</v>
      </c>
      <c r="G22" s="5"/>
      <c r="H22" s="19" t="s">
        <v>755</v>
      </c>
      <c r="I22" s="19" t="s">
        <v>34</v>
      </c>
      <c r="J22" s="19" t="s">
        <v>770</v>
      </c>
      <c r="K22" s="18">
        <v>1468050</v>
      </c>
      <c r="L22" s="20" t="s">
        <v>793</v>
      </c>
      <c r="M22" s="9">
        <f t="shared" si="0"/>
        <v>1732299</v>
      </c>
      <c r="N22" s="19" t="s">
        <v>28</v>
      </c>
    </row>
    <row r="23" spans="1:14">
      <c r="A23" s="17" t="s">
        <v>54</v>
      </c>
      <c r="B23" s="18">
        <v>520</v>
      </c>
      <c r="C23" s="19" t="s">
        <v>64</v>
      </c>
      <c r="D23" s="18">
        <v>10633</v>
      </c>
      <c r="E23" s="19" t="s">
        <v>241</v>
      </c>
      <c r="F23" s="19" t="s">
        <v>555</v>
      </c>
      <c r="G23" s="5"/>
      <c r="H23" s="19" t="s">
        <v>755</v>
      </c>
      <c r="I23" s="19" t="s">
        <v>34</v>
      </c>
      <c r="J23" s="19" t="s">
        <v>770</v>
      </c>
      <c r="K23" s="18">
        <v>167850</v>
      </c>
      <c r="L23" s="20" t="s">
        <v>794</v>
      </c>
      <c r="M23" s="9">
        <f t="shared" si="0"/>
        <v>198063</v>
      </c>
      <c r="N23" s="19" t="s">
        <v>38</v>
      </c>
    </row>
    <row r="24" spans="1:14">
      <c r="A24" s="17" t="s">
        <v>54</v>
      </c>
      <c r="B24" s="18">
        <v>25020</v>
      </c>
      <c r="C24" s="19" t="s">
        <v>65</v>
      </c>
      <c r="D24" s="18">
        <v>10481</v>
      </c>
      <c r="E24" s="19" t="s">
        <v>225</v>
      </c>
      <c r="F24" s="19" t="s">
        <v>538</v>
      </c>
      <c r="G24" s="5"/>
      <c r="H24" s="19" t="s">
        <v>753</v>
      </c>
      <c r="I24" s="19" t="s">
        <v>34</v>
      </c>
      <c r="J24" s="19" t="s">
        <v>770</v>
      </c>
      <c r="K24" s="18">
        <v>343290</v>
      </c>
      <c r="L24" s="20" t="s">
        <v>795</v>
      </c>
      <c r="M24" s="9">
        <f t="shared" si="0"/>
        <v>384484.8</v>
      </c>
      <c r="N24" s="19" t="s">
        <v>29</v>
      </c>
    </row>
    <row r="25" spans="1:14">
      <c r="A25" s="17" t="s">
        <v>54</v>
      </c>
      <c r="B25" s="18">
        <v>28872</v>
      </c>
      <c r="C25" s="19" t="s">
        <v>66</v>
      </c>
      <c r="D25" s="18">
        <v>10161</v>
      </c>
      <c r="E25" s="19" t="s">
        <v>242</v>
      </c>
      <c r="F25" s="19" t="s">
        <v>556</v>
      </c>
      <c r="G25" s="5"/>
      <c r="H25" s="19" t="s">
        <v>33</v>
      </c>
      <c r="I25" s="19" t="s">
        <v>34</v>
      </c>
      <c r="J25" s="19" t="s">
        <v>770</v>
      </c>
      <c r="K25" s="18">
        <v>446525</v>
      </c>
      <c r="L25" s="20" t="s">
        <v>796</v>
      </c>
      <c r="M25" s="9">
        <f t="shared" si="0"/>
        <v>526899.5</v>
      </c>
      <c r="N25" s="19" t="s">
        <v>29</v>
      </c>
    </row>
    <row r="26" spans="1:14">
      <c r="A26" s="17" t="s">
        <v>54</v>
      </c>
      <c r="B26" s="18">
        <v>25509</v>
      </c>
      <c r="C26" s="19" t="s">
        <v>36</v>
      </c>
      <c r="D26" s="18">
        <v>10643</v>
      </c>
      <c r="E26" s="19" t="s">
        <v>243</v>
      </c>
      <c r="F26" s="19" t="s">
        <v>557</v>
      </c>
      <c r="G26" s="5"/>
      <c r="H26" s="19" t="s">
        <v>753</v>
      </c>
      <c r="I26" s="19" t="s">
        <v>34</v>
      </c>
      <c r="J26" s="19" t="s">
        <v>771</v>
      </c>
      <c r="K26" s="18">
        <v>2784000</v>
      </c>
      <c r="L26" s="20" t="s">
        <v>797</v>
      </c>
      <c r="M26" s="9">
        <f t="shared" si="0"/>
        <v>2923200</v>
      </c>
      <c r="N26" s="19" t="s">
        <v>29</v>
      </c>
    </row>
    <row r="27" spans="1:14">
      <c r="A27" s="17" t="s">
        <v>54</v>
      </c>
      <c r="B27" s="18">
        <v>25755</v>
      </c>
      <c r="C27" s="19" t="s">
        <v>67</v>
      </c>
      <c r="D27" s="18">
        <v>10165</v>
      </c>
      <c r="E27" s="19" t="s">
        <v>244</v>
      </c>
      <c r="F27" s="19" t="s">
        <v>558</v>
      </c>
      <c r="G27" s="5"/>
      <c r="H27" s="19" t="s">
        <v>755</v>
      </c>
      <c r="I27" s="19" t="s">
        <v>34</v>
      </c>
      <c r="J27" s="19" t="s">
        <v>770</v>
      </c>
      <c r="K27" s="18">
        <v>741990</v>
      </c>
      <c r="L27" s="20" t="s">
        <v>798</v>
      </c>
      <c r="M27" s="9">
        <f t="shared" si="0"/>
        <v>875548.2</v>
      </c>
      <c r="N27" s="19" t="s">
        <v>28</v>
      </c>
    </row>
    <row r="28" spans="1:14">
      <c r="A28" s="17" t="s">
        <v>54</v>
      </c>
      <c r="B28" s="18">
        <v>2448</v>
      </c>
      <c r="C28" s="19" t="s">
        <v>68</v>
      </c>
      <c r="D28" s="18">
        <v>9387</v>
      </c>
      <c r="E28" s="19" t="s">
        <v>245</v>
      </c>
      <c r="F28" s="19" t="s">
        <v>559</v>
      </c>
      <c r="G28" s="5"/>
      <c r="H28" s="19" t="s">
        <v>755</v>
      </c>
      <c r="I28" s="19" t="s">
        <v>34</v>
      </c>
      <c r="J28" s="19" t="s">
        <v>770</v>
      </c>
      <c r="K28" s="18">
        <v>583000</v>
      </c>
      <c r="L28" s="20" t="s">
        <v>799</v>
      </c>
      <c r="M28" s="9">
        <f t="shared" si="0"/>
        <v>687940</v>
      </c>
      <c r="N28" s="19" t="s">
        <v>28</v>
      </c>
    </row>
    <row r="29" spans="1:14">
      <c r="A29" s="17" t="s">
        <v>54</v>
      </c>
      <c r="B29" s="18">
        <v>2448</v>
      </c>
      <c r="C29" s="19" t="s">
        <v>68</v>
      </c>
      <c r="D29" s="18">
        <v>10070</v>
      </c>
      <c r="E29" s="19" t="s">
        <v>246</v>
      </c>
      <c r="F29" s="19" t="s">
        <v>560</v>
      </c>
      <c r="G29" s="5"/>
      <c r="H29" s="19" t="s">
        <v>752</v>
      </c>
      <c r="I29" s="19" t="s">
        <v>34</v>
      </c>
      <c r="J29" s="19" t="s">
        <v>770</v>
      </c>
      <c r="K29" s="18">
        <v>41000</v>
      </c>
      <c r="L29" s="20" t="s">
        <v>800</v>
      </c>
      <c r="M29" s="9">
        <f t="shared" si="0"/>
        <v>48380</v>
      </c>
      <c r="N29" s="19" t="s">
        <v>28</v>
      </c>
    </row>
    <row r="30" spans="1:14">
      <c r="A30" s="17" t="s">
        <v>54</v>
      </c>
      <c r="B30" s="18">
        <v>2448</v>
      </c>
      <c r="C30" s="19" t="s">
        <v>68</v>
      </c>
      <c r="D30" s="18">
        <v>10451</v>
      </c>
      <c r="E30" s="19" t="s">
        <v>247</v>
      </c>
      <c r="F30" s="19" t="s">
        <v>561</v>
      </c>
      <c r="G30" s="5"/>
      <c r="H30" s="19" t="s">
        <v>33</v>
      </c>
      <c r="I30" s="19" t="s">
        <v>34</v>
      </c>
      <c r="J30" s="19" t="s">
        <v>770</v>
      </c>
      <c r="K30" s="18">
        <v>579600</v>
      </c>
      <c r="L30" s="20" t="s">
        <v>801</v>
      </c>
      <c r="M30" s="9">
        <f t="shared" si="0"/>
        <v>683928</v>
      </c>
      <c r="N30" s="19" t="s">
        <v>28</v>
      </c>
    </row>
    <row r="31" spans="1:14">
      <c r="A31" s="17" t="s">
        <v>54</v>
      </c>
      <c r="B31" s="18">
        <v>2448</v>
      </c>
      <c r="C31" s="19" t="s">
        <v>68</v>
      </c>
      <c r="D31" s="18">
        <v>10488</v>
      </c>
      <c r="E31" s="19" t="s">
        <v>248</v>
      </c>
      <c r="F31" s="19" t="s">
        <v>562</v>
      </c>
      <c r="G31" s="5"/>
      <c r="H31" s="19" t="s">
        <v>752</v>
      </c>
      <c r="I31" s="19" t="s">
        <v>34</v>
      </c>
      <c r="J31" s="19" t="s">
        <v>770</v>
      </c>
      <c r="K31" s="18">
        <v>930000</v>
      </c>
      <c r="L31" s="20" t="s">
        <v>802</v>
      </c>
      <c r="M31" s="9">
        <f t="shared" si="0"/>
        <v>1097400</v>
      </c>
      <c r="N31" s="19" t="s">
        <v>28</v>
      </c>
    </row>
    <row r="32" spans="1:14">
      <c r="A32" s="17" t="s">
        <v>54</v>
      </c>
      <c r="B32" s="18">
        <v>2448</v>
      </c>
      <c r="C32" s="19" t="s">
        <v>68</v>
      </c>
      <c r="D32" s="18">
        <v>10452</v>
      </c>
      <c r="E32" s="19" t="s">
        <v>249</v>
      </c>
      <c r="F32" s="19" t="s">
        <v>563</v>
      </c>
      <c r="G32" s="5"/>
      <c r="H32" s="19" t="s">
        <v>752</v>
      </c>
      <c r="I32" s="19" t="s">
        <v>34</v>
      </c>
      <c r="J32" s="19" t="s">
        <v>770</v>
      </c>
      <c r="K32" s="18">
        <v>651850</v>
      </c>
      <c r="L32" s="20" t="s">
        <v>803</v>
      </c>
      <c r="M32" s="9">
        <f t="shared" si="0"/>
        <v>769183</v>
      </c>
      <c r="N32" s="19" t="s">
        <v>28</v>
      </c>
    </row>
    <row r="33" spans="1:14">
      <c r="A33" s="17" t="s">
        <v>54</v>
      </c>
      <c r="B33" s="18">
        <v>2448</v>
      </c>
      <c r="C33" s="19" t="s">
        <v>68</v>
      </c>
      <c r="D33" s="18">
        <v>2704</v>
      </c>
      <c r="E33" s="19" t="s">
        <v>250</v>
      </c>
      <c r="F33" s="19" t="s">
        <v>564</v>
      </c>
      <c r="G33" s="5"/>
      <c r="H33" s="19" t="s">
        <v>751</v>
      </c>
      <c r="I33" s="19" t="s">
        <v>765</v>
      </c>
      <c r="J33" s="19" t="s">
        <v>770</v>
      </c>
      <c r="K33" s="18">
        <v>347433.15</v>
      </c>
      <c r="L33" s="20" t="s">
        <v>804</v>
      </c>
      <c r="M33" s="9">
        <f t="shared" si="0"/>
        <v>409971.11000000004</v>
      </c>
      <c r="N33" s="19" t="s">
        <v>28</v>
      </c>
    </row>
    <row r="34" spans="1:14">
      <c r="A34" s="17" t="s">
        <v>54</v>
      </c>
      <c r="B34" s="18">
        <v>26008</v>
      </c>
      <c r="C34" s="19" t="s">
        <v>69</v>
      </c>
      <c r="D34" s="18">
        <v>10463</v>
      </c>
      <c r="E34" s="19" t="s">
        <v>251</v>
      </c>
      <c r="F34" s="19" t="s">
        <v>565</v>
      </c>
      <c r="G34" s="5"/>
      <c r="H34" s="19" t="s">
        <v>33</v>
      </c>
      <c r="I34" s="19" t="s">
        <v>34</v>
      </c>
      <c r="J34" s="19" t="s">
        <v>770</v>
      </c>
      <c r="K34" s="18">
        <v>191250</v>
      </c>
      <c r="L34" s="20" t="s">
        <v>805</v>
      </c>
      <c r="M34" s="9">
        <f t="shared" si="0"/>
        <v>225675</v>
      </c>
      <c r="N34" s="19" t="s">
        <v>28</v>
      </c>
    </row>
    <row r="35" spans="1:14">
      <c r="A35" s="17" t="s">
        <v>54</v>
      </c>
      <c r="B35" s="18">
        <v>1247</v>
      </c>
      <c r="C35" s="19" t="s">
        <v>70</v>
      </c>
      <c r="D35" s="18">
        <v>9946</v>
      </c>
      <c r="E35" s="19" t="s">
        <v>252</v>
      </c>
      <c r="F35" s="19" t="s">
        <v>566</v>
      </c>
      <c r="G35" s="5"/>
      <c r="H35" s="19" t="s">
        <v>31</v>
      </c>
      <c r="I35" s="19" t="s">
        <v>766</v>
      </c>
      <c r="J35" s="19" t="s">
        <v>770</v>
      </c>
      <c r="K35" s="18">
        <v>1437170</v>
      </c>
      <c r="L35" s="20" t="s">
        <v>806</v>
      </c>
      <c r="M35" s="9">
        <f t="shared" si="0"/>
        <v>1695860.6</v>
      </c>
      <c r="N35" s="19" t="s">
        <v>28</v>
      </c>
    </row>
    <row r="36" spans="1:14">
      <c r="A36" s="17" t="s">
        <v>54</v>
      </c>
      <c r="B36" s="18">
        <v>1247</v>
      </c>
      <c r="C36" s="19" t="s">
        <v>70</v>
      </c>
      <c r="D36" s="18">
        <v>10500</v>
      </c>
      <c r="E36" s="19" t="s">
        <v>253</v>
      </c>
      <c r="F36" s="19" t="s">
        <v>567</v>
      </c>
      <c r="G36" s="5"/>
      <c r="H36" s="19" t="s">
        <v>755</v>
      </c>
      <c r="I36" s="19" t="s">
        <v>34</v>
      </c>
      <c r="J36" s="19" t="s">
        <v>770</v>
      </c>
      <c r="K36" s="18">
        <v>351474.5</v>
      </c>
      <c r="L36" s="20" t="s">
        <v>807</v>
      </c>
      <c r="M36" s="9">
        <f t="shared" si="0"/>
        <v>414739.92</v>
      </c>
      <c r="N36" s="19" t="s">
        <v>28</v>
      </c>
    </row>
    <row r="37" spans="1:14">
      <c r="A37" s="17" t="s">
        <v>54</v>
      </c>
      <c r="B37" s="18">
        <v>1247</v>
      </c>
      <c r="C37" s="19" t="s">
        <v>70</v>
      </c>
      <c r="D37" s="18">
        <v>10573</v>
      </c>
      <c r="E37" s="19" t="s">
        <v>254</v>
      </c>
      <c r="F37" s="19" t="s">
        <v>568</v>
      </c>
      <c r="G37" s="5"/>
      <c r="H37" s="19" t="s">
        <v>33</v>
      </c>
      <c r="I37" s="19" t="s">
        <v>34</v>
      </c>
      <c r="J37" s="19" t="s">
        <v>770</v>
      </c>
      <c r="K37" s="18">
        <v>324750</v>
      </c>
      <c r="L37" s="20" t="s">
        <v>808</v>
      </c>
      <c r="M37" s="9">
        <f t="shared" si="0"/>
        <v>383205</v>
      </c>
      <c r="N37" s="19" t="s">
        <v>28</v>
      </c>
    </row>
    <row r="38" spans="1:14">
      <c r="A38" s="17" t="s">
        <v>54</v>
      </c>
      <c r="B38" s="18">
        <v>1247</v>
      </c>
      <c r="C38" s="19" t="s">
        <v>70</v>
      </c>
      <c r="D38" s="18">
        <v>10172</v>
      </c>
      <c r="E38" s="19" t="s">
        <v>255</v>
      </c>
      <c r="F38" s="19" t="s">
        <v>569</v>
      </c>
      <c r="G38" s="5"/>
      <c r="H38" s="19" t="s">
        <v>755</v>
      </c>
      <c r="I38" s="19" t="s">
        <v>34</v>
      </c>
      <c r="J38" s="19" t="s">
        <v>770</v>
      </c>
      <c r="K38" s="18">
        <v>1029000</v>
      </c>
      <c r="L38" s="20" t="s">
        <v>809</v>
      </c>
      <c r="M38" s="9">
        <f t="shared" si="0"/>
        <v>1214220</v>
      </c>
      <c r="N38" s="19" t="s">
        <v>28</v>
      </c>
    </row>
    <row r="39" spans="1:14">
      <c r="A39" s="17" t="s">
        <v>54</v>
      </c>
      <c r="B39" s="18">
        <v>21734</v>
      </c>
      <c r="C39" s="19" t="s">
        <v>71</v>
      </c>
      <c r="D39" s="18">
        <v>10238</v>
      </c>
      <c r="E39" s="19" t="s">
        <v>256</v>
      </c>
      <c r="F39" s="19" t="s">
        <v>570</v>
      </c>
      <c r="G39" s="5"/>
      <c r="H39" s="19" t="s">
        <v>752</v>
      </c>
      <c r="I39" s="19" t="s">
        <v>34</v>
      </c>
      <c r="J39" s="19" t="s">
        <v>770</v>
      </c>
      <c r="K39" s="18">
        <v>187899</v>
      </c>
      <c r="L39" s="20" t="s">
        <v>810</v>
      </c>
      <c r="M39" s="9">
        <f t="shared" si="0"/>
        <v>221720.82</v>
      </c>
      <c r="N39" s="19" t="s">
        <v>28</v>
      </c>
    </row>
    <row r="40" spans="1:14">
      <c r="A40" s="17" t="s">
        <v>54</v>
      </c>
      <c r="B40" s="18">
        <v>2758</v>
      </c>
      <c r="C40" s="19" t="s">
        <v>72</v>
      </c>
      <c r="D40" s="18">
        <v>10612</v>
      </c>
      <c r="E40" s="19" t="s">
        <v>257</v>
      </c>
      <c r="F40" s="19" t="s">
        <v>571</v>
      </c>
      <c r="G40" s="5"/>
      <c r="H40" s="19" t="s">
        <v>753</v>
      </c>
      <c r="I40" s="19" t="s">
        <v>34</v>
      </c>
      <c r="J40" s="19" t="s">
        <v>771</v>
      </c>
      <c r="K40" s="18">
        <v>5852000</v>
      </c>
      <c r="L40" s="20" t="s">
        <v>811</v>
      </c>
      <c r="M40" s="9">
        <f t="shared" si="0"/>
        <v>6905360</v>
      </c>
      <c r="N40" s="19" t="s">
        <v>30</v>
      </c>
    </row>
    <row r="41" spans="1:14">
      <c r="A41" s="17" t="s">
        <v>54</v>
      </c>
      <c r="B41" s="18">
        <v>17322</v>
      </c>
      <c r="C41" s="19" t="s">
        <v>73</v>
      </c>
      <c r="D41" s="18">
        <v>10227</v>
      </c>
      <c r="E41" s="19" t="s">
        <v>258</v>
      </c>
      <c r="F41" s="19" t="s">
        <v>572</v>
      </c>
      <c r="G41" s="5"/>
      <c r="H41" s="19" t="s">
        <v>752</v>
      </c>
      <c r="I41" s="19" t="s">
        <v>34</v>
      </c>
      <c r="J41" s="19" t="s">
        <v>770</v>
      </c>
      <c r="K41" s="18">
        <v>1214100</v>
      </c>
      <c r="L41" s="20" t="s">
        <v>812</v>
      </c>
      <c r="M41" s="9">
        <f t="shared" si="0"/>
        <v>1432638</v>
      </c>
      <c r="N41" s="19" t="s">
        <v>28</v>
      </c>
    </row>
    <row r="42" spans="1:14">
      <c r="A42" s="17" t="s">
        <v>54</v>
      </c>
      <c r="B42" s="18">
        <v>17322</v>
      </c>
      <c r="C42" s="19" t="s">
        <v>73</v>
      </c>
      <c r="D42" s="18">
        <v>10209</v>
      </c>
      <c r="E42" s="19" t="s">
        <v>259</v>
      </c>
      <c r="F42" s="19" t="s">
        <v>573</v>
      </c>
      <c r="G42" s="5"/>
      <c r="H42" s="19" t="s">
        <v>752</v>
      </c>
      <c r="I42" s="19" t="s">
        <v>34</v>
      </c>
      <c r="J42" s="19" t="s">
        <v>770</v>
      </c>
      <c r="K42" s="18">
        <v>744579</v>
      </c>
      <c r="L42" s="20" t="s">
        <v>813</v>
      </c>
      <c r="M42" s="9">
        <f t="shared" si="0"/>
        <v>878603.22</v>
      </c>
      <c r="N42" s="19" t="s">
        <v>28</v>
      </c>
    </row>
    <row r="43" spans="1:14">
      <c r="A43" s="17" t="s">
        <v>54</v>
      </c>
      <c r="B43" s="18">
        <v>17322</v>
      </c>
      <c r="C43" s="19" t="s">
        <v>73</v>
      </c>
      <c r="D43" s="18">
        <v>10257</v>
      </c>
      <c r="E43" s="19" t="s">
        <v>260</v>
      </c>
      <c r="F43" s="19" t="s">
        <v>574</v>
      </c>
      <c r="G43" s="5"/>
      <c r="H43" s="19" t="s">
        <v>755</v>
      </c>
      <c r="I43" s="19" t="s">
        <v>34</v>
      </c>
      <c r="J43" s="19" t="s">
        <v>770</v>
      </c>
      <c r="K43" s="18">
        <v>2002500</v>
      </c>
      <c r="L43" s="20" t="s">
        <v>814</v>
      </c>
      <c r="M43" s="9">
        <f t="shared" si="0"/>
        <v>2362950</v>
      </c>
      <c r="N43" s="19" t="s">
        <v>28</v>
      </c>
    </row>
    <row r="44" spans="1:14">
      <c r="A44" s="17" t="s">
        <v>54</v>
      </c>
      <c r="B44" s="18">
        <v>25166</v>
      </c>
      <c r="C44" s="19" t="s">
        <v>74</v>
      </c>
      <c r="D44" s="18">
        <v>9676</v>
      </c>
      <c r="E44" s="19" t="s">
        <v>261</v>
      </c>
      <c r="F44" s="19" t="s">
        <v>575</v>
      </c>
      <c r="G44" s="5"/>
      <c r="H44" s="19" t="s">
        <v>755</v>
      </c>
      <c r="I44" s="19" t="s">
        <v>34</v>
      </c>
      <c r="J44" s="19" t="s">
        <v>770</v>
      </c>
      <c r="K44" s="18">
        <v>948175</v>
      </c>
      <c r="L44" s="20" t="s">
        <v>815</v>
      </c>
      <c r="M44" s="9">
        <f t="shared" si="0"/>
        <v>1118846.5</v>
      </c>
      <c r="N44" s="19" t="s">
        <v>28</v>
      </c>
    </row>
    <row r="45" spans="1:14">
      <c r="A45" s="17" t="s">
        <v>54</v>
      </c>
      <c r="B45" s="18">
        <v>25166</v>
      </c>
      <c r="C45" s="19" t="s">
        <v>74</v>
      </c>
      <c r="D45" s="18">
        <v>10367</v>
      </c>
      <c r="E45" s="19" t="s">
        <v>262</v>
      </c>
      <c r="F45" s="19" t="s">
        <v>576</v>
      </c>
      <c r="G45" s="5"/>
      <c r="H45" s="19" t="s">
        <v>33</v>
      </c>
      <c r="I45" s="19" t="s">
        <v>34</v>
      </c>
      <c r="J45" s="19" t="s">
        <v>770</v>
      </c>
      <c r="K45" s="18">
        <v>546000</v>
      </c>
      <c r="L45" s="20" t="s">
        <v>816</v>
      </c>
      <c r="M45" s="9">
        <f t="shared" si="0"/>
        <v>644280</v>
      </c>
      <c r="N45" s="19" t="s">
        <v>28</v>
      </c>
    </row>
    <row r="46" spans="1:14">
      <c r="A46" s="17" t="s">
        <v>54</v>
      </c>
      <c r="B46" s="18">
        <v>26001</v>
      </c>
      <c r="C46" s="19" t="s">
        <v>75</v>
      </c>
      <c r="D46" s="18">
        <v>10602</v>
      </c>
      <c r="E46" s="19" t="s">
        <v>231</v>
      </c>
      <c r="F46" s="19" t="s">
        <v>544</v>
      </c>
      <c r="G46" s="5"/>
      <c r="H46" s="19" t="s">
        <v>753</v>
      </c>
      <c r="I46" s="19" t="s">
        <v>34</v>
      </c>
      <c r="J46" s="19" t="s">
        <v>770</v>
      </c>
      <c r="K46" s="18">
        <v>10840</v>
      </c>
      <c r="L46" s="20" t="s">
        <v>817</v>
      </c>
      <c r="M46" s="9">
        <f t="shared" si="0"/>
        <v>12140.8</v>
      </c>
      <c r="N46" s="19" t="s">
        <v>29</v>
      </c>
    </row>
    <row r="47" spans="1:14">
      <c r="A47" s="17" t="s">
        <v>54</v>
      </c>
      <c r="B47" s="18">
        <v>2436</v>
      </c>
      <c r="C47" s="19" t="s">
        <v>76</v>
      </c>
      <c r="D47" s="18">
        <v>10490</v>
      </c>
      <c r="E47" s="19" t="s">
        <v>263</v>
      </c>
      <c r="F47" s="19" t="s">
        <v>577</v>
      </c>
      <c r="G47" s="5"/>
      <c r="H47" s="19" t="s">
        <v>752</v>
      </c>
      <c r="I47" s="19" t="s">
        <v>34</v>
      </c>
      <c r="J47" s="19" t="s">
        <v>770</v>
      </c>
      <c r="K47" s="18">
        <v>568100</v>
      </c>
      <c r="L47" s="20" t="s">
        <v>818</v>
      </c>
      <c r="M47" s="9">
        <f t="shared" si="0"/>
        <v>670358</v>
      </c>
      <c r="N47" s="19" t="s">
        <v>28</v>
      </c>
    </row>
    <row r="48" spans="1:14">
      <c r="A48" s="17" t="s">
        <v>54</v>
      </c>
      <c r="B48" s="18">
        <v>2436</v>
      </c>
      <c r="C48" s="19" t="s">
        <v>76</v>
      </c>
      <c r="D48" s="18">
        <v>10272</v>
      </c>
      <c r="E48" s="19" t="s">
        <v>264</v>
      </c>
      <c r="F48" s="19" t="s">
        <v>578</v>
      </c>
      <c r="G48" s="5"/>
      <c r="H48" s="19" t="s">
        <v>33</v>
      </c>
      <c r="I48" s="19" t="s">
        <v>34</v>
      </c>
      <c r="J48" s="19" t="s">
        <v>770</v>
      </c>
      <c r="K48" s="18">
        <v>1131500</v>
      </c>
      <c r="L48" s="20" t="s">
        <v>819</v>
      </c>
      <c r="M48" s="9">
        <f t="shared" si="0"/>
        <v>1335170</v>
      </c>
      <c r="N48" s="19" t="s">
        <v>28</v>
      </c>
    </row>
    <row r="49" spans="1:14">
      <c r="A49" s="17" t="s">
        <v>54</v>
      </c>
      <c r="B49" s="18">
        <v>28962</v>
      </c>
      <c r="C49" s="19" t="s">
        <v>77</v>
      </c>
      <c r="D49" s="18">
        <v>10282</v>
      </c>
      <c r="E49" s="19" t="s">
        <v>265</v>
      </c>
      <c r="F49" s="19" t="s">
        <v>579</v>
      </c>
      <c r="G49" s="5"/>
      <c r="H49" s="19" t="s">
        <v>756</v>
      </c>
      <c r="I49" s="19" t="s">
        <v>767</v>
      </c>
      <c r="J49" s="19" t="s">
        <v>770</v>
      </c>
      <c r="K49" s="18">
        <v>57000</v>
      </c>
      <c r="L49" s="20" t="s">
        <v>820</v>
      </c>
      <c r="M49" s="9">
        <f t="shared" si="0"/>
        <v>69384</v>
      </c>
      <c r="N49" s="19" t="s">
        <v>29</v>
      </c>
    </row>
    <row r="50" spans="1:14">
      <c r="A50" s="17" t="s">
        <v>54</v>
      </c>
      <c r="B50" s="18">
        <v>1648</v>
      </c>
      <c r="C50" s="19" t="s">
        <v>78</v>
      </c>
      <c r="D50" s="18">
        <v>10296</v>
      </c>
      <c r="E50" s="19" t="s">
        <v>266</v>
      </c>
      <c r="F50" s="19" t="s">
        <v>580</v>
      </c>
      <c r="G50" s="5"/>
      <c r="H50" s="19" t="s">
        <v>755</v>
      </c>
      <c r="I50" s="19" t="s">
        <v>34</v>
      </c>
      <c r="J50" s="19" t="s">
        <v>770</v>
      </c>
      <c r="K50" s="18">
        <v>2719750</v>
      </c>
      <c r="L50" s="20" t="s">
        <v>821</v>
      </c>
      <c r="M50" s="9">
        <f t="shared" si="0"/>
        <v>3209305</v>
      </c>
      <c r="N50" s="19" t="s">
        <v>28</v>
      </c>
    </row>
    <row r="51" spans="1:14">
      <c r="A51" s="17" t="s">
        <v>54</v>
      </c>
      <c r="B51" s="18">
        <v>1648</v>
      </c>
      <c r="C51" s="19" t="s">
        <v>78</v>
      </c>
      <c r="D51" s="18">
        <v>10006</v>
      </c>
      <c r="E51" s="19" t="s">
        <v>267</v>
      </c>
      <c r="F51" s="19" t="s">
        <v>581</v>
      </c>
      <c r="G51" s="5"/>
      <c r="H51" s="19" t="s">
        <v>755</v>
      </c>
      <c r="I51" s="19" t="s">
        <v>34</v>
      </c>
      <c r="J51" s="19" t="s">
        <v>770</v>
      </c>
      <c r="K51" s="18">
        <v>3356190</v>
      </c>
      <c r="L51" s="20" t="s">
        <v>822</v>
      </c>
      <c r="M51" s="9">
        <f t="shared" si="0"/>
        <v>3960304.2</v>
      </c>
      <c r="N51" s="19" t="s">
        <v>28</v>
      </c>
    </row>
    <row r="52" spans="1:14">
      <c r="A52" s="17" t="s">
        <v>54</v>
      </c>
      <c r="B52" s="18">
        <v>24604</v>
      </c>
      <c r="C52" s="19" t="s">
        <v>79</v>
      </c>
      <c r="D52" s="18">
        <v>10341</v>
      </c>
      <c r="E52" s="19" t="s">
        <v>268</v>
      </c>
      <c r="F52" s="19" t="s">
        <v>582</v>
      </c>
      <c r="G52" s="5"/>
      <c r="H52" s="19" t="s">
        <v>754</v>
      </c>
      <c r="I52" s="19" t="s">
        <v>34</v>
      </c>
      <c r="J52" s="19" t="s">
        <v>770</v>
      </c>
      <c r="K52" s="18">
        <v>789600</v>
      </c>
      <c r="L52" s="20" t="s">
        <v>823</v>
      </c>
      <c r="M52" s="9">
        <f t="shared" si="0"/>
        <v>931728</v>
      </c>
      <c r="N52" s="19" t="s">
        <v>29</v>
      </c>
    </row>
    <row r="53" spans="1:14">
      <c r="A53" s="17" t="s">
        <v>54</v>
      </c>
      <c r="B53" s="18">
        <v>24604</v>
      </c>
      <c r="C53" s="19" t="s">
        <v>79</v>
      </c>
      <c r="D53" s="18">
        <v>10143</v>
      </c>
      <c r="E53" s="19" t="s">
        <v>269</v>
      </c>
      <c r="F53" s="19" t="s">
        <v>583</v>
      </c>
      <c r="G53" s="5"/>
      <c r="H53" s="19" t="s">
        <v>757</v>
      </c>
      <c r="I53" s="19" t="s">
        <v>767</v>
      </c>
      <c r="J53" s="19" t="s">
        <v>770</v>
      </c>
      <c r="K53" s="18">
        <v>4335866.8</v>
      </c>
      <c r="L53" s="20" t="s">
        <v>824</v>
      </c>
      <c r="M53" s="9">
        <f t="shared" si="0"/>
        <v>5116322.82</v>
      </c>
      <c r="N53" s="19" t="s">
        <v>29</v>
      </c>
    </row>
    <row r="54" spans="1:14">
      <c r="A54" s="17" t="s">
        <v>54</v>
      </c>
      <c r="B54" s="18">
        <v>24604</v>
      </c>
      <c r="C54" s="19" t="s">
        <v>79</v>
      </c>
      <c r="D54" s="18">
        <v>9874</v>
      </c>
      <c r="E54" s="19" t="s">
        <v>270</v>
      </c>
      <c r="F54" s="19" t="s">
        <v>584</v>
      </c>
      <c r="G54" s="5"/>
      <c r="H54" s="19" t="s">
        <v>758</v>
      </c>
      <c r="I54" s="19" t="s">
        <v>768</v>
      </c>
      <c r="J54" s="19" t="s">
        <v>771</v>
      </c>
      <c r="K54" s="18">
        <v>89960215.093999997</v>
      </c>
      <c r="L54" s="20" t="s">
        <v>825</v>
      </c>
      <c r="M54" s="9">
        <f t="shared" si="0"/>
        <v>107799840.434</v>
      </c>
      <c r="N54" s="19" t="s">
        <v>38</v>
      </c>
    </row>
    <row r="55" spans="1:14">
      <c r="A55" s="17" t="s">
        <v>54</v>
      </c>
      <c r="B55" s="18">
        <v>28180</v>
      </c>
      <c r="C55" s="19" t="s">
        <v>80</v>
      </c>
      <c r="D55" s="18">
        <v>9595</v>
      </c>
      <c r="E55" s="19" t="s">
        <v>271</v>
      </c>
      <c r="F55" s="19" t="s">
        <v>585</v>
      </c>
      <c r="G55" s="5"/>
      <c r="H55" s="19" t="s">
        <v>755</v>
      </c>
      <c r="I55" s="19" t="s">
        <v>34</v>
      </c>
      <c r="J55" s="19" t="s">
        <v>770</v>
      </c>
      <c r="K55" s="18">
        <v>2297084</v>
      </c>
      <c r="L55" s="20" t="s">
        <v>826</v>
      </c>
      <c r="M55" s="9">
        <f t="shared" si="0"/>
        <v>2710559.12</v>
      </c>
      <c r="N55" s="19" t="s">
        <v>28</v>
      </c>
    </row>
    <row r="56" spans="1:14">
      <c r="A56" s="17" t="s">
        <v>54</v>
      </c>
      <c r="B56" s="18">
        <v>28180</v>
      </c>
      <c r="C56" s="19" t="s">
        <v>80</v>
      </c>
      <c r="D56" s="18">
        <v>10154</v>
      </c>
      <c r="E56" s="19" t="s">
        <v>272</v>
      </c>
      <c r="F56" s="19" t="s">
        <v>586</v>
      </c>
      <c r="G56" s="5"/>
      <c r="H56" s="19" t="s">
        <v>755</v>
      </c>
      <c r="I56" s="19" t="s">
        <v>34</v>
      </c>
      <c r="J56" s="19" t="s">
        <v>770</v>
      </c>
      <c r="K56" s="18">
        <v>215200</v>
      </c>
      <c r="L56" s="20" t="s">
        <v>827</v>
      </c>
      <c r="M56" s="9">
        <f t="shared" si="0"/>
        <v>253936</v>
      </c>
      <c r="N56" s="19" t="s">
        <v>28</v>
      </c>
    </row>
    <row r="57" spans="1:14">
      <c r="A57" s="17" t="s">
        <v>54</v>
      </c>
      <c r="B57" s="18">
        <v>28180</v>
      </c>
      <c r="C57" s="19" t="s">
        <v>80</v>
      </c>
      <c r="D57" s="18">
        <v>10433</v>
      </c>
      <c r="E57" s="19" t="s">
        <v>273</v>
      </c>
      <c r="F57" s="19" t="s">
        <v>587</v>
      </c>
      <c r="G57" s="5"/>
      <c r="H57" s="19" t="s">
        <v>33</v>
      </c>
      <c r="I57" s="19" t="s">
        <v>34</v>
      </c>
      <c r="J57" s="19" t="s">
        <v>770</v>
      </c>
      <c r="K57" s="18">
        <v>1379215</v>
      </c>
      <c r="L57" s="20" t="s">
        <v>828</v>
      </c>
      <c r="M57" s="9">
        <f t="shared" si="0"/>
        <v>1627473.7</v>
      </c>
      <c r="N57" s="19" t="s">
        <v>28</v>
      </c>
    </row>
    <row r="58" spans="1:14">
      <c r="A58" s="17" t="s">
        <v>54</v>
      </c>
      <c r="B58" s="18">
        <v>105</v>
      </c>
      <c r="C58" s="19" t="s">
        <v>81</v>
      </c>
      <c r="D58" s="18">
        <v>10120</v>
      </c>
      <c r="E58" s="19" t="s">
        <v>274</v>
      </c>
      <c r="F58" s="19" t="s">
        <v>588</v>
      </c>
      <c r="G58" s="5"/>
      <c r="H58" s="19" t="s">
        <v>755</v>
      </c>
      <c r="I58" s="19" t="s">
        <v>34</v>
      </c>
      <c r="J58" s="19" t="s">
        <v>770</v>
      </c>
      <c r="K58" s="18">
        <v>326625</v>
      </c>
      <c r="L58" s="20"/>
      <c r="M58" s="9">
        <f t="shared" si="0"/>
        <v>326625</v>
      </c>
      <c r="N58" s="19" t="s">
        <v>28</v>
      </c>
    </row>
    <row r="59" spans="1:14">
      <c r="A59" s="17" t="s">
        <v>54</v>
      </c>
      <c r="B59" s="18">
        <v>26923</v>
      </c>
      <c r="C59" s="19" t="s">
        <v>82</v>
      </c>
      <c r="D59" s="18">
        <v>10132</v>
      </c>
      <c r="E59" s="19" t="s">
        <v>275</v>
      </c>
      <c r="F59" s="19" t="s">
        <v>589</v>
      </c>
      <c r="G59" s="5"/>
      <c r="H59" s="19" t="s">
        <v>33</v>
      </c>
      <c r="I59" s="19" t="s">
        <v>34</v>
      </c>
      <c r="J59" s="19" t="s">
        <v>770</v>
      </c>
      <c r="K59" s="18">
        <v>541476</v>
      </c>
      <c r="L59" s="20" t="s">
        <v>829</v>
      </c>
      <c r="M59" s="9">
        <f t="shared" si="0"/>
        <v>638941.67999999993</v>
      </c>
      <c r="N59" s="19" t="s">
        <v>28</v>
      </c>
    </row>
    <row r="60" spans="1:14">
      <c r="A60" s="17" t="s">
        <v>54</v>
      </c>
      <c r="B60" s="18">
        <v>26923</v>
      </c>
      <c r="C60" s="19" t="s">
        <v>82</v>
      </c>
      <c r="D60" s="18">
        <v>10358</v>
      </c>
      <c r="E60" s="19" t="s">
        <v>276</v>
      </c>
      <c r="F60" s="19" t="s">
        <v>590</v>
      </c>
      <c r="G60" s="5"/>
      <c r="H60" s="19" t="s">
        <v>33</v>
      </c>
      <c r="I60" s="19" t="s">
        <v>34</v>
      </c>
      <c r="J60" s="19" t="s">
        <v>770</v>
      </c>
      <c r="K60" s="18">
        <v>416840</v>
      </c>
      <c r="L60" s="20" t="s">
        <v>830</v>
      </c>
      <c r="M60" s="9">
        <f t="shared" si="0"/>
        <v>491871.2</v>
      </c>
      <c r="N60" s="19" t="s">
        <v>28</v>
      </c>
    </row>
    <row r="61" spans="1:14">
      <c r="A61" s="17" t="s">
        <v>54</v>
      </c>
      <c r="B61" s="18">
        <v>26923</v>
      </c>
      <c r="C61" s="19" t="s">
        <v>82</v>
      </c>
      <c r="D61" s="18">
        <v>10203</v>
      </c>
      <c r="E61" s="19" t="s">
        <v>277</v>
      </c>
      <c r="F61" s="19" t="s">
        <v>591</v>
      </c>
      <c r="G61" s="5"/>
      <c r="H61" s="19" t="s">
        <v>755</v>
      </c>
      <c r="I61" s="19" t="s">
        <v>34</v>
      </c>
      <c r="J61" s="19" t="s">
        <v>770</v>
      </c>
      <c r="K61" s="18">
        <v>713640</v>
      </c>
      <c r="L61" s="20" t="s">
        <v>831</v>
      </c>
      <c r="M61" s="9">
        <f t="shared" si="0"/>
        <v>842095.2</v>
      </c>
      <c r="N61" s="19" t="s">
        <v>28</v>
      </c>
    </row>
    <row r="62" spans="1:14">
      <c r="A62" s="17" t="s">
        <v>54</v>
      </c>
      <c r="B62" s="18">
        <v>26923</v>
      </c>
      <c r="C62" s="19" t="s">
        <v>82</v>
      </c>
      <c r="D62" s="18">
        <v>10323</v>
      </c>
      <c r="E62" s="19" t="s">
        <v>278</v>
      </c>
      <c r="F62" s="19" t="s">
        <v>592</v>
      </c>
      <c r="G62" s="5"/>
      <c r="H62" s="19" t="s">
        <v>755</v>
      </c>
      <c r="I62" s="19" t="s">
        <v>34</v>
      </c>
      <c r="J62" s="19" t="s">
        <v>770</v>
      </c>
      <c r="K62" s="18">
        <v>1545000</v>
      </c>
      <c r="L62" s="20" t="s">
        <v>832</v>
      </c>
      <c r="M62" s="9">
        <f t="shared" si="0"/>
        <v>1823100</v>
      </c>
      <c r="N62" s="19" t="s">
        <v>28</v>
      </c>
    </row>
    <row r="63" spans="1:14">
      <c r="A63" s="17" t="s">
        <v>54</v>
      </c>
      <c r="B63" s="18">
        <v>28831</v>
      </c>
      <c r="C63" s="19" t="s">
        <v>83</v>
      </c>
      <c r="D63" s="18">
        <v>10158</v>
      </c>
      <c r="E63" s="19" t="s">
        <v>279</v>
      </c>
      <c r="F63" s="19" t="s">
        <v>593</v>
      </c>
      <c r="G63" s="5"/>
      <c r="H63" s="19" t="s">
        <v>33</v>
      </c>
      <c r="I63" s="19" t="s">
        <v>34</v>
      </c>
      <c r="J63" s="19" t="s">
        <v>770</v>
      </c>
      <c r="K63" s="18">
        <v>208500</v>
      </c>
      <c r="L63" s="20" t="s">
        <v>833</v>
      </c>
      <c r="M63" s="9">
        <f t="shared" si="0"/>
        <v>246030</v>
      </c>
      <c r="N63" s="19" t="s">
        <v>28</v>
      </c>
    </row>
    <row r="64" spans="1:14">
      <c r="A64" s="17" t="s">
        <v>54</v>
      </c>
      <c r="B64" s="18">
        <v>28831</v>
      </c>
      <c r="C64" s="19" t="s">
        <v>83</v>
      </c>
      <c r="D64" s="18">
        <v>10162</v>
      </c>
      <c r="E64" s="19" t="s">
        <v>280</v>
      </c>
      <c r="F64" s="19" t="s">
        <v>556</v>
      </c>
      <c r="G64" s="5"/>
      <c r="H64" s="19" t="s">
        <v>33</v>
      </c>
      <c r="I64" s="19" t="s">
        <v>34</v>
      </c>
      <c r="J64" s="19" t="s">
        <v>770</v>
      </c>
      <c r="K64" s="18">
        <v>682110</v>
      </c>
      <c r="L64" s="20" t="s">
        <v>834</v>
      </c>
      <c r="M64" s="9">
        <f t="shared" si="0"/>
        <v>804889.8</v>
      </c>
      <c r="N64" s="19" t="s">
        <v>28</v>
      </c>
    </row>
    <row r="65" spans="1:14">
      <c r="A65" s="17" t="s">
        <v>54</v>
      </c>
      <c r="B65" s="18">
        <v>18546</v>
      </c>
      <c r="C65" s="19" t="s">
        <v>46</v>
      </c>
      <c r="D65" s="18">
        <v>10342</v>
      </c>
      <c r="E65" s="19" t="s">
        <v>281</v>
      </c>
      <c r="F65" s="19" t="s">
        <v>594</v>
      </c>
      <c r="G65" s="5"/>
      <c r="H65" s="19" t="s">
        <v>757</v>
      </c>
      <c r="I65" s="19" t="s">
        <v>767</v>
      </c>
      <c r="J65" s="19" t="s">
        <v>770</v>
      </c>
      <c r="K65" s="18">
        <v>194800</v>
      </c>
      <c r="L65" s="20" t="s">
        <v>835</v>
      </c>
      <c r="M65" s="9">
        <f t="shared" si="0"/>
        <v>229864</v>
      </c>
      <c r="N65" s="19" t="s">
        <v>29</v>
      </c>
    </row>
    <row r="66" spans="1:14">
      <c r="A66" s="17" t="s">
        <v>54</v>
      </c>
      <c r="B66" s="18">
        <v>18546</v>
      </c>
      <c r="C66" s="19" t="s">
        <v>46</v>
      </c>
      <c r="D66" s="18">
        <v>10561</v>
      </c>
      <c r="E66" s="19" t="s">
        <v>282</v>
      </c>
      <c r="F66" s="19" t="s">
        <v>595</v>
      </c>
      <c r="G66" s="5"/>
      <c r="H66" s="19" t="s">
        <v>759</v>
      </c>
      <c r="I66" s="19" t="s">
        <v>34</v>
      </c>
      <c r="J66" s="19" t="s">
        <v>770</v>
      </c>
      <c r="K66" s="18">
        <v>35900</v>
      </c>
      <c r="L66" s="20" t="s">
        <v>836</v>
      </c>
      <c r="M66" s="9">
        <f t="shared" ref="M66:M129" si="1">+K66+L66</f>
        <v>42362</v>
      </c>
      <c r="N66" s="19" t="s">
        <v>29</v>
      </c>
    </row>
    <row r="67" spans="1:14">
      <c r="A67" s="17" t="s">
        <v>54</v>
      </c>
      <c r="B67" s="18">
        <v>18546</v>
      </c>
      <c r="C67" s="19" t="s">
        <v>46</v>
      </c>
      <c r="D67" s="18">
        <v>10390</v>
      </c>
      <c r="E67" s="19" t="s">
        <v>283</v>
      </c>
      <c r="F67" s="19" t="s">
        <v>596</v>
      </c>
      <c r="G67" s="5"/>
      <c r="H67" s="19" t="s">
        <v>756</v>
      </c>
      <c r="I67" s="19" t="s">
        <v>767</v>
      </c>
      <c r="J67" s="19" t="s">
        <v>770</v>
      </c>
      <c r="K67" s="18">
        <v>238500</v>
      </c>
      <c r="L67" s="20" t="s">
        <v>837</v>
      </c>
      <c r="M67" s="9">
        <f t="shared" si="1"/>
        <v>281430</v>
      </c>
      <c r="N67" s="19" t="s">
        <v>29</v>
      </c>
    </row>
    <row r="68" spans="1:14">
      <c r="A68" s="17" t="s">
        <v>54</v>
      </c>
      <c r="B68" s="18">
        <v>18546</v>
      </c>
      <c r="C68" s="19" t="s">
        <v>46</v>
      </c>
      <c r="D68" s="18">
        <v>10502</v>
      </c>
      <c r="E68" s="19" t="s">
        <v>284</v>
      </c>
      <c r="F68" s="19" t="s">
        <v>597</v>
      </c>
      <c r="G68" s="5"/>
      <c r="H68" s="19" t="s">
        <v>757</v>
      </c>
      <c r="I68" s="19" t="s">
        <v>767</v>
      </c>
      <c r="J68" s="19" t="s">
        <v>770</v>
      </c>
      <c r="K68" s="18">
        <v>159620</v>
      </c>
      <c r="L68" s="20" t="s">
        <v>838</v>
      </c>
      <c r="M68" s="9">
        <f t="shared" si="1"/>
        <v>188351.6</v>
      </c>
      <c r="N68" s="19" t="s">
        <v>29</v>
      </c>
    </row>
    <row r="69" spans="1:14">
      <c r="A69" s="17" t="s">
        <v>54</v>
      </c>
      <c r="B69" s="18">
        <v>18546</v>
      </c>
      <c r="C69" s="19" t="s">
        <v>46</v>
      </c>
      <c r="D69" s="18">
        <v>10197</v>
      </c>
      <c r="E69" s="19" t="s">
        <v>285</v>
      </c>
      <c r="F69" s="19" t="s">
        <v>598</v>
      </c>
      <c r="G69" s="5"/>
      <c r="H69" s="19" t="s">
        <v>760</v>
      </c>
      <c r="I69" s="19" t="s">
        <v>34</v>
      </c>
      <c r="J69" s="19" t="s">
        <v>770</v>
      </c>
      <c r="K69" s="18">
        <v>80500</v>
      </c>
      <c r="L69" s="20" t="s">
        <v>839</v>
      </c>
      <c r="M69" s="9">
        <f t="shared" si="1"/>
        <v>94990</v>
      </c>
      <c r="N69" s="19" t="s">
        <v>29</v>
      </c>
    </row>
    <row r="70" spans="1:14">
      <c r="A70" s="17" t="s">
        <v>54</v>
      </c>
      <c r="B70" s="18">
        <v>18546</v>
      </c>
      <c r="C70" s="19" t="s">
        <v>46</v>
      </c>
      <c r="D70" s="18">
        <v>10329</v>
      </c>
      <c r="E70" s="19" t="s">
        <v>286</v>
      </c>
      <c r="F70" s="19" t="s">
        <v>599</v>
      </c>
      <c r="G70" s="5"/>
      <c r="H70" s="19" t="s">
        <v>756</v>
      </c>
      <c r="I70" s="19" t="s">
        <v>767</v>
      </c>
      <c r="J70" s="19" t="s">
        <v>770</v>
      </c>
      <c r="K70" s="18">
        <v>692960</v>
      </c>
      <c r="L70" s="20" t="s">
        <v>840</v>
      </c>
      <c r="M70" s="9">
        <f t="shared" si="1"/>
        <v>817692.8</v>
      </c>
      <c r="N70" s="19" t="s">
        <v>29</v>
      </c>
    </row>
    <row r="71" spans="1:14">
      <c r="A71" s="17" t="s">
        <v>54</v>
      </c>
      <c r="B71" s="18">
        <v>18546</v>
      </c>
      <c r="C71" s="19" t="s">
        <v>46</v>
      </c>
      <c r="D71" s="18">
        <v>10149</v>
      </c>
      <c r="E71" s="19" t="s">
        <v>287</v>
      </c>
      <c r="F71" s="19" t="s">
        <v>600</v>
      </c>
      <c r="G71" s="5"/>
      <c r="H71" s="19" t="s">
        <v>757</v>
      </c>
      <c r="I71" s="19" t="s">
        <v>767</v>
      </c>
      <c r="J71" s="19" t="s">
        <v>770</v>
      </c>
      <c r="K71" s="18">
        <v>88700</v>
      </c>
      <c r="L71" s="20" t="s">
        <v>841</v>
      </c>
      <c r="M71" s="9">
        <f t="shared" si="1"/>
        <v>104666</v>
      </c>
      <c r="N71" s="19" t="s">
        <v>29</v>
      </c>
    </row>
    <row r="72" spans="1:14">
      <c r="A72" s="17" t="s">
        <v>54</v>
      </c>
      <c r="B72" s="18">
        <v>18546</v>
      </c>
      <c r="C72" s="19" t="s">
        <v>46</v>
      </c>
      <c r="D72" s="18">
        <v>10558</v>
      </c>
      <c r="E72" s="19" t="s">
        <v>288</v>
      </c>
      <c r="F72" s="19" t="s">
        <v>601</v>
      </c>
      <c r="G72" s="5"/>
      <c r="H72" s="19" t="s">
        <v>757</v>
      </c>
      <c r="I72" s="19" t="s">
        <v>767</v>
      </c>
      <c r="J72" s="19" t="s">
        <v>770</v>
      </c>
      <c r="K72" s="18">
        <v>198404.6</v>
      </c>
      <c r="L72" s="20" t="s">
        <v>842</v>
      </c>
      <c r="M72" s="9">
        <f t="shared" si="1"/>
        <v>234117.42</v>
      </c>
      <c r="N72" s="19" t="s">
        <v>29</v>
      </c>
    </row>
    <row r="73" spans="1:14">
      <c r="A73" s="17" t="s">
        <v>54</v>
      </c>
      <c r="B73" s="18">
        <v>77</v>
      </c>
      <c r="C73" s="19" t="s">
        <v>84</v>
      </c>
      <c r="D73" s="18">
        <v>9596</v>
      </c>
      <c r="E73" s="19" t="s">
        <v>289</v>
      </c>
      <c r="F73" s="19" t="s">
        <v>585</v>
      </c>
      <c r="G73" s="5"/>
      <c r="H73" s="19" t="s">
        <v>31</v>
      </c>
      <c r="I73" s="19" t="s">
        <v>766</v>
      </c>
      <c r="J73" s="19" t="s">
        <v>770</v>
      </c>
      <c r="K73" s="18">
        <v>1979154.5</v>
      </c>
      <c r="L73" s="20" t="s">
        <v>843</v>
      </c>
      <c r="M73" s="9">
        <f t="shared" si="1"/>
        <v>2335402.3199999998</v>
      </c>
      <c r="N73" s="19" t="s">
        <v>28</v>
      </c>
    </row>
    <row r="74" spans="1:14">
      <c r="A74" s="17" t="s">
        <v>54</v>
      </c>
      <c r="B74" s="18">
        <v>2084</v>
      </c>
      <c r="C74" s="19" t="s">
        <v>85</v>
      </c>
      <c r="D74" s="18">
        <v>10321</v>
      </c>
      <c r="E74" s="19" t="s">
        <v>290</v>
      </c>
      <c r="F74" s="19" t="s">
        <v>592</v>
      </c>
      <c r="G74" s="5"/>
      <c r="H74" s="19" t="s">
        <v>757</v>
      </c>
      <c r="I74" s="19" t="s">
        <v>767</v>
      </c>
      <c r="J74" s="19" t="s">
        <v>770</v>
      </c>
      <c r="K74" s="18">
        <v>226300</v>
      </c>
      <c r="L74" s="20" t="s">
        <v>844</v>
      </c>
      <c r="M74" s="9">
        <f t="shared" si="1"/>
        <v>267034</v>
      </c>
      <c r="N74" s="19" t="s">
        <v>29</v>
      </c>
    </row>
    <row r="75" spans="1:14">
      <c r="A75" s="17" t="s">
        <v>54</v>
      </c>
      <c r="B75" s="18">
        <v>2084</v>
      </c>
      <c r="C75" s="19" t="s">
        <v>85</v>
      </c>
      <c r="D75" s="18">
        <v>10318</v>
      </c>
      <c r="E75" s="19" t="s">
        <v>291</v>
      </c>
      <c r="F75" s="19" t="s">
        <v>602</v>
      </c>
      <c r="G75" s="5"/>
      <c r="H75" s="19" t="s">
        <v>756</v>
      </c>
      <c r="I75" s="19" t="s">
        <v>767</v>
      </c>
      <c r="J75" s="19" t="s">
        <v>770</v>
      </c>
      <c r="K75" s="18">
        <v>418500</v>
      </c>
      <c r="L75" s="20" t="s">
        <v>845</v>
      </c>
      <c r="M75" s="9">
        <f t="shared" si="1"/>
        <v>493830</v>
      </c>
      <c r="N75" s="19" t="s">
        <v>29</v>
      </c>
    </row>
    <row r="76" spans="1:14">
      <c r="A76" s="17" t="s">
        <v>54</v>
      </c>
      <c r="B76" s="18">
        <v>2084</v>
      </c>
      <c r="C76" s="19" t="s">
        <v>85</v>
      </c>
      <c r="D76" s="18">
        <v>10086</v>
      </c>
      <c r="E76" s="19" t="s">
        <v>292</v>
      </c>
      <c r="F76" s="19" t="s">
        <v>603</v>
      </c>
      <c r="G76" s="5"/>
      <c r="H76" s="19" t="s">
        <v>756</v>
      </c>
      <c r="I76" s="19" t="s">
        <v>767</v>
      </c>
      <c r="J76" s="19" t="s">
        <v>770</v>
      </c>
      <c r="K76" s="18">
        <v>344000</v>
      </c>
      <c r="L76" s="20" t="s">
        <v>846</v>
      </c>
      <c r="M76" s="9">
        <f t="shared" si="1"/>
        <v>405920</v>
      </c>
      <c r="N76" s="19" t="s">
        <v>29</v>
      </c>
    </row>
    <row r="77" spans="1:14">
      <c r="A77" s="17" t="s">
        <v>54</v>
      </c>
      <c r="B77" s="18">
        <v>28867</v>
      </c>
      <c r="C77" s="19" t="s">
        <v>86</v>
      </c>
      <c r="D77" s="18">
        <v>10157</v>
      </c>
      <c r="E77" s="19" t="s">
        <v>293</v>
      </c>
      <c r="F77" s="19" t="s">
        <v>586</v>
      </c>
      <c r="G77" s="5"/>
      <c r="H77" s="19" t="s">
        <v>758</v>
      </c>
      <c r="I77" s="19" t="s">
        <v>768</v>
      </c>
      <c r="J77" s="19" t="s">
        <v>772</v>
      </c>
      <c r="K77" s="18">
        <v>158300</v>
      </c>
      <c r="L77" s="20" t="s">
        <v>847</v>
      </c>
      <c r="M77" s="9">
        <f t="shared" si="1"/>
        <v>199632.4</v>
      </c>
      <c r="N77" s="19" t="s">
        <v>29</v>
      </c>
    </row>
    <row r="78" spans="1:14">
      <c r="A78" s="17" t="s">
        <v>54</v>
      </c>
      <c r="B78" s="18">
        <v>5545</v>
      </c>
      <c r="C78" s="19" t="s">
        <v>87</v>
      </c>
      <c r="D78" s="18">
        <v>10130</v>
      </c>
      <c r="E78" s="19" t="s">
        <v>294</v>
      </c>
      <c r="F78" s="19" t="s">
        <v>604</v>
      </c>
      <c r="G78" s="5"/>
      <c r="H78" s="19" t="s">
        <v>757</v>
      </c>
      <c r="I78" s="19" t="s">
        <v>767</v>
      </c>
      <c r="J78" s="19" t="s">
        <v>770</v>
      </c>
      <c r="K78" s="18">
        <v>1021000</v>
      </c>
      <c r="L78" s="20" t="s">
        <v>848</v>
      </c>
      <c r="M78" s="9">
        <f t="shared" si="1"/>
        <v>1204780</v>
      </c>
      <c r="N78" s="19" t="s">
        <v>29</v>
      </c>
    </row>
    <row r="79" spans="1:14">
      <c r="A79" s="17" t="s">
        <v>54</v>
      </c>
      <c r="B79" s="18">
        <v>29068</v>
      </c>
      <c r="C79" s="19" t="s">
        <v>88</v>
      </c>
      <c r="D79" s="18">
        <v>10413</v>
      </c>
      <c r="E79" s="19" t="s">
        <v>295</v>
      </c>
      <c r="F79" s="19" t="s">
        <v>605</v>
      </c>
      <c r="G79" s="5"/>
      <c r="H79" s="19" t="s">
        <v>759</v>
      </c>
      <c r="I79" s="19" t="s">
        <v>34</v>
      </c>
      <c r="J79" s="19" t="s">
        <v>770</v>
      </c>
      <c r="K79" s="18">
        <v>340000</v>
      </c>
      <c r="L79" s="20" t="s">
        <v>849</v>
      </c>
      <c r="M79" s="9">
        <f t="shared" si="1"/>
        <v>401200</v>
      </c>
      <c r="N79" s="19" t="s">
        <v>29</v>
      </c>
    </row>
    <row r="80" spans="1:14">
      <c r="A80" s="17" t="s">
        <v>54</v>
      </c>
      <c r="B80" s="18">
        <v>28499</v>
      </c>
      <c r="C80" s="19" t="s">
        <v>89</v>
      </c>
      <c r="D80" s="18">
        <v>10210</v>
      </c>
      <c r="E80" s="19" t="s">
        <v>296</v>
      </c>
      <c r="F80" s="19" t="s">
        <v>573</v>
      </c>
      <c r="G80" s="5"/>
      <c r="H80" s="19" t="s">
        <v>761</v>
      </c>
      <c r="I80" s="19" t="s">
        <v>768</v>
      </c>
      <c r="J80" s="19" t="s">
        <v>770</v>
      </c>
      <c r="K80" s="18">
        <v>10684992.5</v>
      </c>
      <c r="L80" s="20" t="s">
        <v>850</v>
      </c>
      <c r="M80" s="9">
        <f t="shared" si="1"/>
        <v>12608291.15</v>
      </c>
      <c r="N80" s="19" t="s">
        <v>28</v>
      </c>
    </row>
    <row r="81" spans="1:14">
      <c r="A81" s="17" t="s">
        <v>54</v>
      </c>
      <c r="B81" s="18">
        <v>29260</v>
      </c>
      <c r="C81" s="19" t="s">
        <v>90</v>
      </c>
      <c r="D81" s="18">
        <v>10628</v>
      </c>
      <c r="E81" s="19" t="s">
        <v>297</v>
      </c>
      <c r="F81" s="19" t="s">
        <v>606</v>
      </c>
      <c r="G81" s="5"/>
      <c r="H81" s="19" t="s">
        <v>33</v>
      </c>
      <c r="I81" s="19" t="s">
        <v>34</v>
      </c>
      <c r="J81" s="19" t="s">
        <v>770</v>
      </c>
      <c r="K81" s="18">
        <v>2300</v>
      </c>
      <c r="L81" s="20" t="s">
        <v>851</v>
      </c>
      <c r="M81" s="9">
        <f t="shared" si="1"/>
        <v>2714</v>
      </c>
      <c r="N81" s="19" t="s">
        <v>28</v>
      </c>
    </row>
    <row r="82" spans="1:14">
      <c r="A82" s="17" t="s">
        <v>54</v>
      </c>
      <c r="B82" s="18">
        <v>29162</v>
      </c>
      <c r="C82" s="19" t="s">
        <v>91</v>
      </c>
      <c r="D82" s="18">
        <v>10532</v>
      </c>
      <c r="E82" s="19" t="s">
        <v>298</v>
      </c>
      <c r="F82" s="19" t="s">
        <v>607</v>
      </c>
      <c r="G82" s="5"/>
      <c r="H82" s="19" t="s">
        <v>757</v>
      </c>
      <c r="I82" s="19" t="s">
        <v>767</v>
      </c>
      <c r="J82" s="19" t="s">
        <v>770</v>
      </c>
      <c r="K82" s="18">
        <v>6300</v>
      </c>
      <c r="L82" s="20" t="s">
        <v>852</v>
      </c>
      <c r="M82" s="9">
        <f t="shared" si="1"/>
        <v>7434</v>
      </c>
      <c r="N82" s="19" t="s">
        <v>29</v>
      </c>
    </row>
    <row r="83" spans="1:14">
      <c r="A83" s="17" t="s">
        <v>54</v>
      </c>
      <c r="B83" s="18">
        <v>15996</v>
      </c>
      <c r="C83" s="19" t="s">
        <v>92</v>
      </c>
      <c r="D83" s="18">
        <v>10499</v>
      </c>
      <c r="E83" s="19" t="s">
        <v>299</v>
      </c>
      <c r="F83" s="19" t="s">
        <v>608</v>
      </c>
      <c r="G83" s="5"/>
      <c r="H83" s="19" t="s">
        <v>762</v>
      </c>
      <c r="I83" s="19" t="s">
        <v>34</v>
      </c>
      <c r="J83" s="19" t="s">
        <v>770</v>
      </c>
      <c r="K83" s="18">
        <v>70000</v>
      </c>
      <c r="L83" s="20" t="s">
        <v>853</v>
      </c>
      <c r="M83" s="9">
        <f t="shared" si="1"/>
        <v>82600</v>
      </c>
      <c r="N83" s="19" t="s">
        <v>29</v>
      </c>
    </row>
    <row r="84" spans="1:14">
      <c r="A84" s="17" t="s">
        <v>54</v>
      </c>
      <c r="B84" s="18">
        <v>20422</v>
      </c>
      <c r="C84" s="19" t="s">
        <v>93</v>
      </c>
      <c r="D84" s="18">
        <v>10536</v>
      </c>
      <c r="E84" s="19" t="s">
        <v>300</v>
      </c>
      <c r="F84" s="19" t="s">
        <v>609</v>
      </c>
      <c r="G84" s="5"/>
      <c r="H84" s="19" t="s">
        <v>756</v>
      </c>
      <c r="I84" s="19" t="s">
        <v>767</v>
      </c>
      <c r="J84" s="19" t="s">
        <v>770</v>
      </c>
      <c r="K84" s="18">
        <v>100180</v>
      </c>
      <c r="L84" s="20" t="s">
        <v>854</v>
      </c>
      <c r="M84" s="9">
        <f t="shared" si="1"/>
        <v>118212.4</v>
      </c>
      <c r="N84" s="19" t="s">
        <v>29</v>
      </c>
    </row>
    <row r="85" spans="1:14">
      <c r="A85" s="17" t="s">
        <v>54</v>
      </c>
      <c r="B85" s="18">
        <v>458</v>
      </c>
      <c r="C85" s="19" t="s">
        <v>94</v>
      </c>
      <c r="D85" s="18">
        <v>10164</v>
      </c>
      <c r="E85" s="19" t="s">
        <v>301</v>
      </c>
      <c r="F85" s="19" t="s">
        <v>556</v>
      </c>
      <c r="G85" s="5"/>
      <c r="H85" s="19" t="s">
        <v>754</v>
      </c>
      <c r="I85" s="19" t="s">
        <v>34</v>
      </c>
      <c r="J85" s="19" t="s">
        <v>770</v>
      </c>
      <c r="K85" s="18">
        <v>450600</v>
      </c>
      <c r="L85" s="20" t="s">
        <v>855</v>
      </c>
      <c r="M85" s="9">
        <f t="shared" si="1"/>
        <v>531708</v>
      </c>
      <c r="N85" s="19" t="s">
        <v>29</v>
      </c>
    </row>
    <row r="86" spans="1:14">
      <c r="A86" s="17" t="s">
        <v>54</v>
      </c>
      <c r="B86" s="18">
        <v>21181</v>
      </c>
      <c r="C86" s="19" t="s">
        <v>52</v>
      </c>
      <c r="D86" s="18">
        <v>10484</v>
      </c>
      <c r="E86" s="19" t="s">
        <v>302</v>
      </c>
      <c r="F86" s="19" t="s">
        <v>610</v>
      </c>
      <c r="G86" s="5"/>
      <c r="H86" s="19" t="s">
        <v>755</v>
      </c>
      <c r="I86" s="19" t="s">
        <v>34</v>
      </c>
      <c r="J86" s="19" t="s">
        <v>770</v>
      </c>
      <c r="K86" s="18">
        <v>287500</v>
      </c>
      <c r="L86" s="20" t="s">
        <v>856</v>
      </c>
      <c r="M86" s="9">
        <f t="shared" si="1"/>
        <v>339250</v>
      </c>
      <c r="N86" s="19" t="s">
        <v>1123</v>
      </c>
    </row>
    <row r="87" spans="1:14">
      <c r="A87" s="17" t="s">
        <v>54</v>
      </c>
      <c r="B87" s="18">
        <v>29186</v>
      </c>
      <c r="C87" s="19" t="s">
        <v>95</v>
      </c>
      <c r="D87" s="18">
        <v>10559</v>
      </c>
      <c r="E87" s="19" t="s">
        <v>303</v>
      </c>
      <c r="F87" s="19" t="s">
        <v>601</v>
      </c>
      <c r="G87" s="5"/>
      <c r="H87" s="19" t="s">
        <v>762</v>
      </c>
      <c r="I87" s="19" t="s">
        <v>34</v>
      </c>
      <c r="J87" s="19" t="s">
        <v>770</v>
      </c>
      <c r="K87" s="18">
        <v>27514</v>
      </c>
      <c r="L87" s="20" t="s">
        <v>857</v>
      </c>
      <c r="M87" s="9">
        <f t="shared" si="1"/>
        <v>32466.52</v>
      </c>
      <c r="N87" s="19" t="s">
        <v>29</v>
      </c>
    </row>
    <row r="88" spans="1:14">
      <c r="A88" s="17" t="s">
        <v>54</v>
      </c>
      <c r="B88" s="18">
        <v>3964</v>
      </c>
      <c r="C88" s="19" t="s">
        <v>50</v>
      </c>
      <c r="D88" s="18">
        <v>10108</v>
      </c>
      <c r="E88" s="19" t="s">
        <v>304</v>
      </c>
      <c r="F88" s="19" t="s">
        <v>611</v>
      </c>
      <c r="G88" s="5"/>
      <c r="H88" s="19" t="s">
        <v>33</v>
      </c>
      <c r="I88" s="19" t="s">
        <v>34</v>
      </c>
      <c r="J88" s="19" t="s">
        <v>770</v>
      </c>
      <c r="K88" s="18">
        <v>20150550</v>
      </c>
      <c r="L88" s="20" t="s">
        <v>858</v>
      </c>
      <c r="M88" s="9">
        <f t="shared" si="1"/>
        <v>23777649</v>
      </c>
      <c r="N88" s="19" t="s">
        <v>28</v>
      </c>
    </row>
    <row r="89" spans="1:14">
      <c r="A89" s="17" t="s">
        <v>54</v>
      </c>
      <c r="B89" s="18">
        <v>909</v>
      </c>
      <c r="C89" s="19" t="s">
        <v>96</v>
      </c>
      <c r="D89" s="18">
        <v>10591</v>
      </c>
      <c r="E89" s="19" t="s">
        <v>305</v>
      </c>
      <c r="F89" s="19" t="s">
        <v>612</v>
      </c>
      <c r="G89" s="5"/>
      <c r="H89" s="19" t="s">
        <v>757</v>
      </c>
      <c r="I89" s="19" t="s">
        <v>767</v>
      </c>
      <c r="J89" s="19" t="s">
        <v>770</v>
      </c>
      <c r="K89" s="18">
        <v>702760</v>
      </c>
      <c r="L89" s="20" t="s">
        <v>859</v>
      </c>
      <c r="M89" s="9">
        <f t="shared" si="1"/>
        <v>829256.8</v>
      </c>
      <c r="N89" s="19" t="s">
        <v>29</v>
      </c>
    </row>
    <row r="90" spans="1:14">
      <c r="A90" s="17" t="s">
        <v>54</v>
      </c>
      <c r="B90" s="18">
        <v>909</v>
      </c>
      <c r="C90" s="19" t="s">
        <v>96</v>
      </c>
      <c r="D90" s="18">
        <v>10503</v>
      </c>
      <c r="E90" s="19" t="s">
        <v>306</v>
      </c>
      <c r="F90" s="19" t="s">
        <v>597</v>
      </c>
      <c r="G90" s="5"/>
      <c r="H90" s="19" t="s">
        <v>757</v>
      </c>
      <c r="I90" s="19" t="s">
        <v>767</v>
      </c>
      <c r="J90" s="19" t="s">
        <v>770</v>
      </c>
      <c r="K90" s="18">
        <v>967693</v>
      </c>
      <c r="L90" s="20" t="s">
        <v>860</v>
      </c>
      <c r="M90" s="9">
        <f t="shared" si="1"/>
        <v>1141877.74</v>
      </c>
      <c r="N90" s="19" t="s">
        <v>29</v>
      </c>
    </row>
    <row r="91" spans="1:14">
      <c r="A91" s="17" t="s">
        <v>54</v>
      </c>
      <c r="B91" s="18">
        <v>28987</v>
      </c>
      <c r="C91" s="19" t="s">
        <v>97</v>
      </c>
      <c r="D91" s="18">
        <v>10420</v>
      </c>
      <c r="E91" s="19" t="s">
        <v>307</v>
      </c>
      <c r="F91" s="19" t="s">
        <v>537</v>
      </c>
      <c r="G91" s="5"/>
      <c r="H91" s="19" t="s">
        <v>756</v>
      </c>
      <c r="I91" s="19" t="s">
        <v>767</v>
      </c>
      <c r="J91" s="19" t="s">
        <v>770</v>
      </c>
      <c r="K91" s="18">
        <v>7000</v>
      </c>
      <c r="L91" s="20" t="s">
        <v>861</v>
      </c>
      <c r="M91" s="9">
        <f t="shared" si="1"/>
        <v>8260</v>
      </c>
      <c r="N91" s="19" t="s">
        <v>29</v>
      </c>
    </row>
    <row r="92" spans="1:14">
      <c r="A92" s="17" t="s">
        <v>54</v>
      </c>
      <c r="B92" s="18">
        <v>28987</v>
      </c>
      <c r="C92" s="19" t="s">
        <v>97</v>
      </c>
      <c r="D92" s="18">
        <v>10415</v>
      </c>
      <c r="E92" s="19" t="s">
        <v>308</v>
      </c>
      <c r="F92" s="19" t="s">
        <v>613</v>
      </c>
      <c r="G92" s="5"/>
      <c r="H92" s="19" t="s">
        <v>763</v>
      </c>
      <c r="I92" s="19" t="s">
        <v>34</v>
      </c>
      <c r="J92" s="19" t="s">
        <v>770</v>
      </c>
      <c r="K92" s="18">
        <v>30400</v>
      </c>
      <c r="L92" s="20" t="s">
        <v>862</v>
      </c>
      <c r="M92" s="9">
        <f t="shared" si="1"/>
        <v>35872</v>
      </c>
      <c r="N92" s="19" t="s">
        <v>29</v>
      </c>
    </row>
    <row r="93" spans="1:14">
      <c r="A93" s="17" t="s">
        <v>54</v>
      </c>
      <c r="B93" s="18">
        <v>77</v>
      </c>
      <c r="C93" s="19" t="s">
        <v>84</v>
      </c>
      <c r="D93" s="18">
        <v>9997</v>
      </c>
      <c r="E93" s="19" t="s">
        <v>309</v>
      </c>
      <c r="F93" s="19" t="s">
        <v>614</v>
      </c>
      <c r="G93" s="5"/>
      <c r="H93" s="19" t="s">
        <v>755</v>
      </c>
      <c r="I93" s="19" t="s">
        <v>34</v>
      </c>
      <c r="J93" s="19" t="s">
        <v>770</v>
      </c>
      <c r="K93" s="18">
        <v>736850</v>
      </c>
      <c r="L93" s="20" t="s">
        <v>863</v>
      </c>
      <c r="M93" s="9">
        <f t="shared" si="1"/>
        <v>869483</v>
      </c>
      <c r="N93" s="19" t="s">
        <v>28</v>
      </c>
    </row>
    <row r="94" spans="1:14">
      <c r="A94" s="17" t="s">
        <v>54</v>
      </c>
      <c r="B94" s="18">
        <v>77</v>
      </c>
      <c r="C94" s="19" t="s">
        <v>84</v>
      </c>
      <c r="D94" s="18">
        <v>9409</v>
      </c>
      <c r="E94" s="19" t="s">
        <v>310</v>
      </c>
      <c r="F94" s="19" t="s">
        <v>615</v>
      </c>
      <c r="G94" s="5"/>
      <c r="H94" s="19" t="s">
        <v>751</v>
      </c>
      <c r="I94" s="19" t="s">
        <v>765</v>
      </c>
      <c r="J94" s="19" t="s">
        <v>770</v>
      </c>
      <c r="K94" s="18">
        <v>6276829.3080000002</v>
      </c>
      <c r="L94" s="20" t="s">
        <v>864</v>
      </c>
      <c r="M94" s="9">
        <f t="shared" si="1"/>
        <v>7406658.5880000005</v>
      </c>
      <c r="N94" s="19" t="s">
        <v>29</v>
      </c>
    </row>
    <row r="95" spans="1:14">
      <c r="A95" s="17" t="s">
        <v>54</v>
      </c>
      <c r="B95" s="18">
        <v>77</v>
      </c>
      <c r="C95" s="19" t="s">
        <v>84</v>
      </c>
      <c r="D95" s="18">
        <v>10300</v>
      </c>
      <c r="E95" s="19" t="s">
        <v>311</v>
      </c>
      <c r="F95" s="19" t="s">
        <v>616</v>
      </c>
      <c r="G95" s="5"/>
      <c r="H95" s="19" t="s">
        <v>33</v>
      </c>
      <c r="I95" s="19" t="s">
        <v>34</v>
      </c>
      <c r="J95" s="19" t="s">
        <v>770</v>
      </c>
      <c r="K95" s="18">
        <v>1923500</v>
      </c>
      <c r="L95" s="20" t="s">
        <v>865</v>
      </c>
      <c r="M95" s="9">
        <f t="shared" si="1"/>
        <v>2269730</v>
      </c>
      <c r="N95" s="19" t="s">
        <v>28</v>
      </c>
    </row>
    <row r="96" spans="1:14">
      <c r="A96" s="17" t="s">
        <v>54</v>
      </c>
      <c r="B96" s="18">
        <v>28532</v>
      </c>
      <c r="C96" s="19" t="s">
        <v>98</v>
      </c>
      <c r="D96" s="18">
        <v>9925</v>
      </c>
      <c r="E96" s="19" t="s">
        <v>312</v>
      </c>
      <c r="F96" s="19" t="s">
        <v>617</v>
      </c>
      <c r="G96" s="5"/>
      <c r="H96" s="19" t="s">
        <v>755</v>
      </c>
      <c r="I96" s="19" t="s">
        <v>34</v>
      </c>
      <c r="J96" s="19" t="s">
        <v>770</v>
      </c>
      <c r="K96" s="18">
        <v>10046812.304</v>
      </c>
      <c r="L96" s="20" t="s">
        <v>866</v>
      </c>
      <c r="M96" s="9">
        <f t="shared" si="1"/>
        <v>11855238.524</v>
      </c>
      <c r="N96" s="19" t="s">
        <v>28</v>
      </c>
    </row>
    <row r="97" spans="1:14">
      <c r="A97" s="17" t="s">
        <v>54</v>
      </c>
      <c r="B97" s="18">
        <v>28532</v>
      </c>
      <c r="C97" s="19" t="s">
        <v>98</v>
      </c>
      <c r="D97" s="18">
        <v>10067</v>
      </c>
      <c r="E97" s="19" t="s">
        <v>313</v>
      </c>
      <c r="F97" s="19" t="s">
        <v>618</v>
      </c>
      <c r="G97" s="5"/>
      <c r="H97" s="19" t="s">
        <v>755</v>
      </c>
      <c r="I97" s="19" t="s">
        <v>34</v>
      </c>
      <c r="J97" s="19" t="s">
        <v>770</v>
      </c>
      <c r="K97" s="18">
        <v>4465746.3</v>
      </c>
      <c r="L97" s="20" t="s">
        <v>867</v>
      </c>
      <c r="M97" s="9">
        <f t="shared" si="1"/>
        <v>5269580.6399999997</v>
      </c>
      <c r="N97" s="19" t="s">
        <v>28</v>
      </c>
    </row>
    <row r="98" spans="1:14">
      <c r="A98" s="17" t="s">
        <v>54</v>
      </c>
      <c r="B98" s="18">
        <v>26007</v>
      </c>
      <c r="C98" s="19" t="s">
        <v>99</v>
      </c>
      <c r="D98" s="18">
        <v>10527</v>
      </c>
      <c r="E98" s="19" t="s">
        <v>314</v>
      </c>
      <c r="F98" s="19" t="s">
        <v>540</v>
      </c>
      <c r="G98" s="5"/>
      <c r="H98" s="19" t="s">
        <v>33</v>
      </c>
      <c r="I98" s="19" t="s">
        <v>34</v>
      </c>
      <c r="J98" s="19" t="s">
        <v>770</v>
      </c>
      <c r="K98" s="18">
        <v>3034687.5</v>
      </c>
      <c r="L98" s="20" t="s">
        <v>868</v>
      </c>
      <c r="M98" s="9">
        <f t="shared" si="1"/>
        <v>3580931.26</v>
      </c>
      <c r="N98" s="19" t="s">
        <v>28</v>
      </c>
    </row>
    <row r="99" spans="1:14">
      <c r="A99" s="17" t="s">
        <v>54</v>
      </c>
      <c r="B99" s="18">
        <v>26007</v>
      </c>
      <c r="C99" s="19" t="s">
        <v>99</v>
      </c>
      <c r="D99" s="18">
        <v>10365</v>
      </c>
      <c r="E99" s="19" t="s">
        <v>315</v>
      </c>
      <c r="F99" s="19" t="s">
        <v>619</v>
      </c>
      <c r="G99" s="5"/>
      <c r="H99" s="19" t="s">
        <v>33</v>
      </c>
      <c r="I99" s="19" t="s">
        <v>34</v>
      </c>
      <c r="J99" s="19" t="s">
        <v>770</v>
      </c>
      <c r="K99" s="18">
        <v>2864400</v>
      </c>
      <c r="L99" s="20" t="s">
        <v>869</v>
      </c>
      <c r="M99" s="9">
        <f t="shared" si="1"/>
        <v>3379992</v>
      </c>
      <c r="N99" s="19" t="s">
        <v>28</v>
      </c>
    </row>
    <row r="100" spans="1:14">
      <c r="A100" s="17" t="s">
        <v>54</v>
      </c>
      <c r="B100" s="18">
        <v>26007</v>
      </c>
      <c r="C100" s="19" t="s">
        <v>99</v>
      </c>
      <c r="D100" s="18">
        <v>9908</v>
      </c>
      <c r="E100" s="19" t="s">
        <v>316</v>
      </c>
      <c r="F100" s="19" t="s">
        <v>620</v>
      </c>
      <c r="G100" s="5"/>
      <c r="H100" s="19" t="s">
        <v>755</v>
      </c>
      <c r="I100" s="19" t="s">
        <v>34</v>
      </c>
      <c r="J100" s="19" t="s">
        <v>770</v>
      </c>
      <c r="K100" s="18">
        <v>3210052.5</v>
      </c>
      <c r="L100" s="20" t="s">
        <v>870</v>
      </c>
      <c r="M100" s="9">
        <f t="shared" si="1"/>
        <v>3787861.94</v>
      </c>
      <c r="N100" s="19" t="s">
        <v>29</v>
      </c>
    </row>
    <row r="101" spans="1:14">
      <c r="A101" s="17" t="s">
        <v>54</v>
      </c>
      <c r="B101" s="18">
        <v>26007</v>
      </c>
      <c r="C101" s="19" t="s">
        <v>99</v>
      </c>
      <c r="D101" s="18">
        <v>10363</v>
      </c>
      <c r="E101" s="19" t="s">
        <v>317</v>
      </c>
      <c r="F101" s="19" t="s">
        <v>621</v>
      </c>
      <c r="G101" s="5"/>
      <c r="H101" s="19" t="s">
        <v>755</v>
      </c>
      <c r="I101" s="19" t="s">
        <v>34</v>
      </c>
      <c r="J101" s="19" t="s">
        <v>770</v>
      </c>
      <c r="K101" s="18">
        <v>4775700</v>
      </c>
      <c r="L101" s="20" t="s">
        <v>871</v>
      </c>
      <c r="M101" s="9">
        <f t="shared" si="1"/>
        <v>5635326</v>
      </c>
      <c r="N101" s="19" t="s">
        <v>28</v>
      </c>
    </row>
    <row r="102" spans="1:14">
      <c r="A102" s="17" t="s">
        <v>54</v>
      </c>
      <c r="B102" s="18">
        <v>26007</v>
      </c>
      <c r="C102" s="19" t="s">
        <v>99</v>
      </c>
      <c r="D102" s="18">
        <v>10315</v>
      </c>
      <c r="E102" s="19" t="s">
        <v>318</v>
      </c>
      <c r="F102" s="19" t="s">
        <v>602</v>
      </c>
      <c r="G102" s="5"/>
      <c r="H102" s="19" t="s">
        <v>752</v>
      </c>
      <c r="I102" s="19" t="s">
        <v>34</v>
      </c>
      <c r="J102" s="19" t="s">
        <v>770</v>
      </c>
      <c r="K102" s="18">
        <v>302250</v>
      </c>
      <c r="L102" s="20" t="s">
        <v>872</v>
      </c>
      <c r="M102" s="9">
        <f t="shared" si="1"/>
        <v>356655</v>
      </c>
      <c r="N102" s="19" t="s">
        <v>28</v>
      </c>
    </row>
    <row r="103" spans="1:14">
      <c r="A103" s="17" t="s">
        <v>54</v>
      </c>
      <c r="B103" s="18">
        <v>26007</v>
      </c>
      <c r="C103" s="19" t="s">
        <v>99</v>
      </c>
      <c r="D103" s="18">
        <v>10021</v>
      </c>
      <c r="E103" s="19" t="s">
        <v>319</v>
      </c>
      <c r="F103" s="19" t="s">
        <v>622</v>
      </c>
      <c r="G103" s="5"/>
      <c r="H103" s="19" t="s">
        <v>755</v>
      </c>
      <c r="I103" s="19" t="s">
        <v>34</v>
      </c>
      <c r="J103" s="19" t="s">
        <v>770</v>
      </c>
      <c r="K103" s="18">
        <v>1857368.34</v>
      </c>
      <c r="L103" s="20" t="s">
        <v>873</v>
      </c>
      <c r="M103" s="9">
        <f t="shared" si="1"/>
        <v>2191694.64</v>
      </c>
      <c r="N103" s="19" t="s">
        <v>28</v>
      </c>
    </row>
    <row r="104" spans="1:14">
      <c r="A104" s="17" t="s">
        <v>54</v>
      </c>
      <c r="B104" s="18">
        <v>26007</v>
      </c>
      <c r="C104" s="19" t="s">
        <v>99</v>
      </c>
      <c r="D104" s="18">
        <v>10100</v>
      </c>
      <c r="E104" s="19" t="s">
        <v>320</v>
      </c>
      <c r="F104" s="19" t="s">
        <v>623</v>
      </c>
      <c r="G104" s="5"/>
      <c r="H104" s="19" t="s">
        <v>33</v>
      </c>
      <c r="I104" s="19" t="s">
        <v>34</v>
      </c>
      <c r="J104" s="19" t="s">
        <v>770</v>
      </c>
      <c r="K104" s="18">
        <v>1821198.25</v>
      </c>
      <c r="L104" s="20" t="s">
        <v>874</v>
      </c>
      <c r="M104" s="9">
        <f t="shared" si="1"/>
        <v>2149013.9900000002</v>
      </c>
      <c r="N104" s="19" t="s">
        <v>28</v>
      </c>
    </row>
    <row r="105" spans="1:14">
      <c r="A105" s="17" t="s">
        <v>54</v>
      </c>
      <c r="B105" s="18">
        <v>27267</v>
      </c>
      <c r="C105" s="19" t="s">
        <v>100</v>
      </c>
      <c r="D105" s="18">
        <v>10534</v>
      </c>
      <c r="E105" s="19" t="s">
        <v>300</v>
      </c>
      <c r="F105" s="19" t="s">
        <v>609</v>
      </c>
      <c r="G105" s="5"/>
      <c r="H105" s="19" t="s">
        <v>756</v>
      </c>
      <c r="I105" s="19" t="s">
        <v>767</v>
      </c>
      <c r="J105" s="19" t="s">
        <v>770</v>
      </c>
      <c r="K105" s="18">
        <v>16000</v>
      </c>
      <c r="L105" s="20" t="s">
        <v>875</v>
      </c>
      <c r="M105" s="9">
        <f t="shared" si="1"/>
        <v>18880</v>
      </c>
      <c r="N105" s="19" t="s">
        <v>29</v>
      </c>
    </row>
    <row r="106" spans="1:14">
      <c r="A106" s="17" t="s">
        <v>54</v>
      </c>
      <c r="B106" s="18">
        <v>27267</v>
      </c>
      <c r="C106" s="19" t="s">
        <v>100</v>
      </c>
      <c r="D106" s="18">
        <v>10496</v>
      </c>
      <c r="E106" s="19" t="s">
        <v>321</v>
      </c>
      <c r="F106" s="19" t="s">
        <v>624</v>
      </c>
      <c r="G106" s="5"/>
      <c r="H106" s="19" t="s">
        <v>756</v>
      </c>
      <c r="I106" s="19" t="s">
        <v>767</v>
      </c>
      <c r="J106" s="19" t="s">
        <v>770</v>
      </c>
      <c r="K106" s="18">
        <v>8941.2000000000007</v>
      </c>
      <c r="L106" s="20" t="s">
        <v>876</v>
      </c>
      <c r="M106" s="9">
        <f t="shared" si="1"/>
        <v>10550.62</v>
      </c>
      <c r="N106" s="19" t="s">
        <v>29</v>
      </c>
    </row>
    <row r="107" spans="1:14">
      <c r="A107" s="17" t="s">
        <v>54</v>
      </c>
      <c r="B107" s="18">
        <v>13837</v>
      </c>
      <c r="C107" s="19" t="s">
        <v>101</v>
      </c>
      <c r="D107" s="18">
        <v>10171</v>
      </c>
      <c r="E107" s="19" t="s">
        <v>322</v>
      </c>
      <c r="F107" s="19" t="s">
        <v>625</v>
      </c>
      <c r="G107" s="5"/>
      <c r="H107" s="19" t="s">
        <v>33</v>
      </c>
      <c r="I107" s="19" t="s">
        <v>34</v>
      </c>
      <c r="J107" s="19" t="s">
        <v>770</v>
      </c>
      <c r="K107" s="18">
        <v>120000</v>
      </c>
      <c r="L107" s="20" t="s">
        <v>877</v>
      </c>
      <c r="M107" s="9">
        <f t="shared" si="1"/>
        <v>141600</v>
      </c>
      <c r="N107" s="19" t="s">
        <v>28</v>
      </c>
    </row>
    <row r="108" spans="1:14">
      <c r="A108" s="17" t="s">
        <v>54</v>
      </c>
      <c r="B108" s="18">
        <v>28972</v>
      </c>
      <c r="C108" s="19" t="s">
        <v>102</v>
      </c>
      <c r="D108" s="18">
        <v>10291</v>
      </c>
      <c r="E108" s="19" t="s">
        <v>323</v>
      </c>
      <c r="F108" s="19" t="s">
        <v>626</v>
      </c>
      <c r="G108" s="5"/>
      <c r="H108" s="19" t="s">
        <v>756</v>
      </c>
      <c r="I108" s="19" t="s">
        <v>767</v>
      </c>
      <c r="J108" s="19" t="s">
        <v>770</v>
      </c>
      <c r="K108" s="18">
        <v>10824.4</v>
      </c>
      <c r="L108" s="20" t="s">
        <v>878</v>
      </c>
      <c r="M108" s="9">
        <f t="shared" si="1"/>
        <v>12772.82</v>
      </c>
      <c r="N108" s="19" t="s">
        <v>29</v>
      </c>
    </row>
    <row r="109" spans="1:14">
      <c r="A109" s="17" t="s">
        <v>54</v>
      </c>
      <c r="B109" s="18">
        <v>26712</v>
      </c>
      <c r="C109" s="19" t="s">
        <v>103</v>
      </c>
      <c r="D109" s="18">
        <v>10253</v>
      </c>
      <c r="E109" s="19" t="s">
        <v>324</v>
      </c>
      <c r="F109" s="19" t="s">
        <v>627</v>
      </c>
      <c r="G109" s="5"/>
      <c r="H109" s="19" t="s">
        <v>33</v>
      </c>
      <c r="I109" s="19" t="s">
        <v>34</v>
      </c>
      <c r="J109" s="19" t="s">
        <v>770</v>
      </c>
      <c r="K109" s="18">
        <v>4280825.8499999996</v>
      </c>
      <c r="L109" s="20" t="s">
        <v>879</v>
      </c>
      <c r="M109" s="9">
        <f t="shared" si="1"/>
        <v>5051374.51</v>
      </c>
      <c r="N109" s="19" t="s">
        <v>28</v>
      </c>
    </row>
    <row r="110" spans="1:14">
      <c r="A110" s="17" t="s">
        <v>54</v>
      </c>
      <c r="B110" s="18">
        <v>26712</v>
      </c>
      <c r="C110" s="19" t="s">
        <v>103</v>
      </c>
      <c r="D110" s="18">
        <v>10541</v>
      </c>
      <c r="E110" s="19" t="s">
        <v>325</v>
      </c>
      <c r="F110" s="19" t="s">
        <v>628</v>
      </c>
      <c r="G110" s="5"/>
      <c r="H110" s="19" t="s">
        <v>752</v>
      </c>
      <c r="I110" s="19" t="s">
        <v>34</v>
      </c>
      <c r="J110" s="19" t="s">
        <v>770</v>
      </c>
      <c r="K110" s="18">
        <v>2274600</v>
      </c>
      <c r="L110" s="20" t="s">
        <v>880</v>
      </c>
      <c r="M110" s="9">
        <f t="shared" si="1"/>
        <v>2684028</v>
      </c>
      <c r="N110" s="19" t="s">
        <v>28</v>
      </c>
    </row>
    <row r="111" spans="1:14">
      <c r="A111" s="17" t="s">
        <v>54</v>
      </c>
      <c r="B111" s="18">
        <v>26712</v>
      </c>
      <c r="C111" s="19" t="s">
        <v>103</v>
      </c>
      <c r="D111" s="18">
        <v>10092</v>
      </c>
      <c r="E111" s="19" t="s">
        <v>326</v>
      </c>
      <c r="F111" s="19" t="s">
        <v>629</v>
      </c>
      <c r="G111" s="5"/>
      <c r="H111" s="19" t="s">
        <v>755</v>
      </c>
      <c r="I111" s="19" t="s">
        <v>34</v>
      </c>
      <c r="J111" s="19" t="s">
        <v>770</v>
      </c>
      <c r="K111" s="18">
        <v>15456209.255000001</v>
      </c>
      <c r="L111" s="20" t="s">
        <v>881</v>
      </c>
      <c r="M111" s="9">
        <f t="shared" si="1"/>
        <v>18238326.975000001</v>
      </c>
      <c r="N111" s="19" t="s">
        <v>28</v>
      </c>
    </row>
    <row r="112" spans="1:14">
      <c r="A112" s="17" t="s">
        <v>54</v>
      </c>
      <c r="B112" s="18">
        <v>2428</v>
      </c>
      <c r="C112" s="19" t="s">
        <v>104</v>
      </c>
      <c r="D112" s="18">
        <v>10578</v>
      </c>
      <c r="E112" s="19" t="s">
        <v>327</v>
      </c>
      <c r="F112" s="19" t="s">
        <v>630</v>
      </c>
      <c r="G112" s="5"/>
      <c r="H112" s="19" t="s">
        <v>752</v>
      </c>
      <c r="I112" s="19" t="s">
        <v>34</v>
      </c>
      <c r="J112" s="19" t="s">
        <v>770</v>
      </c>
      <c r="K112" s="18">
        <v>197450</v>
      </c>
      <c r="L112" s="20" t="s">
        <v>882</v>
      </c>
      <c r="M112" s="9">
        <f t="shared" si="1"/>
        <v>232991</v>
      </c>
      <c r="N112" s="19" t="s">
        <v>28</v>
      </c>
    </row>
    <row r="113" spans="1:14">
      <c r="A113" s="17" t="s">
        <v>54</v>
      </c>
      <c r="B113" s="18">
        <v>2428</v>
      </c>
      <c r="C113" s="19" t="s">
        <v>104</v>
      </c>
      <c r="D113" s="18">
        <v>10234</v>
      </c>
      <c r="E113" s="19" t="s">
        <v>328</v>
      </c>
      <c r="F113" s="19" t="s">
        <v>631</v>
      </c>
      <c r="G113" s="5"/>
      <c r="H113" s="19" t="s">
        <v>755</v>
      </c>
      <c r="I113" s="19" t="s">
        <v>34</v>
      </c>
      <c r="J113" s="19" t="s">
        <v>770</v>
      </c>
      <c r="K113" s="18">
        <v>500012.5</v>
      </c>
      <c r="L113" s="20" t="s">
        <v>883</v>
      </c>
      <c r="M113" s="9">
        <f t="shared" si="1"/>
        <v>590014.76</v>
      </c>
      <c r="N113" s="19" t="s">
        <v>28</v>
      </c>
    </row>
    <row r="114" spans="1:14">
      <c r="A114" s="17" t="s">
        <v>54</v>
      </c>
      <c r="B114" s="18">
        <v>12582</v>
      </c>
      <c r="C114" s="19" t="s">
        <v>105</v>
      </c>
      <c r="D114" s="18">
        <v>9564</v>
      </c>
      <c r="E114" s="19" t="s">
        <v>329</v>
      </c>
      <c r="F114" s="19" t="s">
        <v>632</v>
      </c>
      <c r="G114" s="5"/>
      <c r="H114" s="19" t="s">
        <v>755</v>
      </c>
      <c r="I114" s="19" t="s">
        <v>34</v>
      </c>
      <c r="J114" s="19" t="s">
        <v>770</v>
      </c>
      <c r="K114" s="18">
        <v>2820000</v>
      </c>
      <c r="L114" s="20" t="s">
        <v>884</v>
      </c>
      <c r="M114" s="9">
        <f t="shared" si="1"/>
        <v>3327600</v>
      </c>
      <c r="N114" s="19" t="s">
        <v>28</v>
      </c>
    </row>
    <row r="115" spans="1:14">
      <c r="A115" s="17" t="s">
        <v>54</v>
      </c>
      <c r="B115" s="18">
        <v>2504</v>
      </c>
      <c r="C115" s="19" t="s">
        <v>106</v>
      </c>
      <c r="D115" s="18">
        <v>9833</v>
      </c>
      <c r="E115" s="19" t="s">
        <v>330</v>
      </c>
      <c r="F115" s="19" t="s">
        <v>633</v>
      </c>
      <c r="G115" s="5"/>
      <c r="H115" s="19" t="s">
        <v>755</v>
      </c>
      <c r="I115" s="19" t="s">
        <v>34</v>
      </c>
      <c r="J115" s="19" t="s">
        <v>770</v>
      </c>
      <c r="K115" s="18">
        <v>594000</v>
      </c>
      <c r="L115" s="20" t="s">
        <v>885</v>
      </c>
      <c r="M115" s="9">
        <f t="shared" si="1"/>
        <v>700920</v>
      </c>
      <c r="N115" s="19" t="s">
        <v>28</v>
      </c>
    </row>
    <row r="116" spans="1:14">
      <c r="A116" s="17" t="s">
        <v>54</v>
      </c>
      <c r="B116" s="18">
        <v>2946</v>
      </c>
      <c r="C116" s="19" t="s">
        <v>106</v>
      </c>
      <c r="D116" s="18">
        <v>10389</v>
      </c>
      <c r="E116" s="19" t="s">
        <v>330</v>
      </c>
      <c r="F116" s="19" t="s">
        <v>634</v>
      </c>
      <c r="G116" s="5"/>
      <c r="H116" s="19" t="s">
        <v>33</v>
      </c>
      <c r="I116" s="19" t="s">
        <v>34</v>
      </c>
      <c r="J116" s="19" t="s">
        <v>770</v>
      </c>
      <c r="K116" s="18">
        <v>593655</v>
      </c>
      <c r="L116" s="20" t="s">
        <v>886</v>
      </c>
      <c r="M116" s="9">
        <f t="shared" si="1"/>
        <v>700512.9</v>
      </c>
      <c r="N116" s="19" t="s">
        <v>28</v>
      </c>
    </row>
    <row r="117" spans="1:14">
      <c r="A117" s="17" t="s">
        <v>54</v>
      </c>
      <c r="B117" s="18">
        <v>23955</v>
      </c>
      <c r="C117" s="19" t="s">
        <v>107</v>
      </c>
      <c r="D117" s="18">
        <v>10200</v>
      </c>
      <c r="E117" s="19" t="s">
        <v>331</v>
      </c>
      <c r="F117" s="19" t="s">
        <v>550</v>
      </c>
      <c r="G117" s="5"/>
      <c r="H117" s="19" t="s">
        <v>752</v>
      </c>
      <c r="I117" s="19" t="s">
        <v>34</v>
      </c>
      <c r="J117" s="19" t="s">
        <v>770</v>
      </c>
      <c r="K117" s="18">
        <v>338412</v>
      </c>
      <c r="L117" s="20"/>
      <c r="M117" s="9">
        <f t="shared" si="1"/>
        <v>338412</v>
      </c>
      <c r="N117" s="19" t="s">
        <v>28</v>
      </c>
    </row>
    <row r="118" spans="1:14">
      <c r="A118" s="17" t="s">
        <v>54</v>
      </c>
      <c r="B118" s="18">
        <v>28983</v>
      </c>
      <c r="C118" s="19" t="s">
        <v>108</v>
      </c>
      <c r="D118" s="18">
        <v>10322</v>
      </c>
      <c r="E118" s="19" t="s">
        <v>332</v>
      </c>
      <c r="F118" s="19" t="s">
        <v>592</v>
      </c>
      <c r="G118" s="5"/>
      <c r="H118" s="19" t="s">
        <v>755</v>
      </c>
      <c r="I118" s="19" t="s">
        <v>34</v>
      </c>
      <c r="J118" s="19" t="s">
        <v>770</v>
      </c>
      <c r="K118" s="18">
        <v>685000</v>
      </c>
      <c r="L118" s="20" t="s">
        <v>887</v>
      </c>
      <c r="M118" s="9">
        <f t="shared" si="1"/>
        <v>808300</v>
      </c>
      <c r="N118" s="19" t="s">
        <v>28</v>
      </c>
    </row>
    <row r="119" spans="1:14">
      <c r="A119" s="17" t="s">
        <v>54</v>
      </c>
      <c r="B119" s="18">
        <v>28767</v>
      </c>
      <c r="C119" s="19" t="s">
        <v>109</v>
      </c>
      <c r="D119" s="18">
        <v>10173</v>
      </c>
      <c r="E119" s="19" t="s">
        <v>255</v>
      </c>
      <c r="F119" s="19" t="s">
        <v>569</v>
      </c>
      <c r="G119" s="5"/>
      <c r="H119" s="19" t="s">
        <v>755</v>
      </c>
      <c r="I119" s="19" t="s">
        <v>34</v>
      </c>
      <c r="J119" s="19" t="s">
        <v>770</v>
      </c>
      <c r="K119" s="18">
        <v>441000</v>
      </c>
      <c r="L119" s="20" t="s">
        <v>888</v>
      </c>
      <c r="M119" s="9">
        <f t="shared" si="1"/>
        <v>520380</v>
      </c>
      <c r="N119" s="19" t="s">
        <v>28</v>
      </c>
    </row>
    <row r="120" spans="1:14">
      <c r="A120" s="17" t="s">
        <v>54</v>
      </c>
      <c r="B120" s="18">
        <v>25091</v>
      </c>
      <c r="C120" s="19" t="s">
        <v>110</v>
      </c>
      <c r="D120" s="18">
        <v>10382</v>
      </c>
      <c r="E120" s="19" t="s">
        <v>333</v>
      </c>
      <c r="F120" s="19" t="s">
        <v>635</v>
      </c>
      <c r="G120" s="5"/>
      <c r="H120" s="19" t="s">
        <v>33</v>
      </c>
      <c r="I120" s="19" t="s">
        <v>34</v>
      </c>
      <c r="J120" s="19" t="s">
        <v>770</v>
      </c>
      <c r="K120" s="18">
        <v>668829.75</v>
      </c>
      <c r="L120" s="20" t="s">
        <v>889</v>
      </c>
      <c r="M120" s="9">
        <f t="shared" si="1"/>
        <v>789219.11</v>
      </c>
      <c r="N120" s="19" t="s">
        <v>28</v>
      </c>
    </row>
    <row r="121" spans="1:14">
      <c r="A121" s="17" t="s">
        <v>54</v>
      </c>
      <c r="B121" s="18">
        <v>25091</v>
      </c>
      <c r="C121" s="19" t="s">
        <v>110</v>
      </c>
      <c r="D121" s="18">
        <v>10517</v>
      </c>
      <c r="E121" s="19" t="s">
        <v>334</v>
      </c>
      <c r="F121" s="19" t="s">
        <v>636</v>
      </c>
      <c r="G121" s="5"/>
      <c r="H121" s="19" t="s">
        <v>752</v>
      </c>
      <c r="I121" s="19" t="s">
        <v>34</v>
      </c>
      <c r="J121" s="19" t="s">
        <v>770</v>
      </c>
      <c r="K121" s="18">
        <v>286595</v>
      </c>
      <c r="L121" s="20" t="s">
        <v>890</v>
      </c>
      <c r="M121" s="9">
        <f t="shared" si="1"/>
        <v>338182.1</v>
      </c>
      <c r="N121" s="19" t="s">
        <v>28</v>
      </c>
    </row>
    <row r="122" spans="1:14">
      <c r="A122" s="17" t="s">
        <v>54</v>
      </c>
      <c r="B122" s="18">
        <v>25091</v>
      </c>
      <c r="C122" s="19" t="s">
        <v>110</v>
      </c>
      <c r="D122" s="18">
        <v>10376</v>
      </c>
      <c r="E122" s="19" t="s">
        <v>335</v>
      </c>
      <c r="F122" s="19" t="s">
        <v>637</v>
      </c>
      <c r="G122" s="5"/>
      <c r="H122" s="19" t="s">
        <v>33</v>
      </c>
      <c r="I122" s="19" t="s">
        <v>34</v>
      </c>
      <c r="J122" s="19" t="s">
        <v>770</v>
      </c>
      <c r="K122" s="18">
        <v>807425</v>
      </c>
      <c r="L122" s="20" t="s">
        <v>891</v>
      </c>
      <c r="M122" s="9">
        <f t="shared" si="1"/>
        <v>952761.5</v>
      </c>
      <c r="N122" s="19" t="s">
        <v>28</v>
      </c>
    </row>
    <row r="123" spans="1:14">
      <c r="A123" s="17" t="s">
        <v>54</v>
      </c>
      <c r="B123" s="18">
        <v>25091</v>
      </c>
      <c r="C123" s="19" t="s">
        <v>110</v>
      </c>
      <c r="D123" s="18">
        <v>10394</v>
      </c>
      <c r="E123" s="19" t="s">
        <v>336</v>
      </c>
      <c r="F123" s="19" t="s">
        <v>638</v>
      </c>
      <c r="G123" s="5"/>
      <c r="H123" s="19" t="s">
        <v>33</v>
      </c>
      <c r="I123" s="19" t="s">
        <v>34</v>
      </c>
      <c r="J123" s="19" t="s">
        <v>770</v>
      </c>
      <c r="K123" s="18">
        <v>91800</v>
      </c>
      <c r="L123" s="20" t="s">
        <v>892</v>
      </c>
      <c r="M123" s="9">
        <f t="shared" si="1"/>
        <v>108324</v>
      </c>
      <c r="N123" s="19" t="s">
        <v>28</v>
      </c>
    </row>
    <row r="124" spans="1:14">
      <c r="A124" s="17" t="s">
        <v>54</v>
      </c>
      <c r="B124" s="18">
        <v>25091</v>
      </c>
      <c r="C124" s="19" t="s">
        <v>110</v>
      </c>
      <c r="D124" s="18">
        <v>10159</v>
      </c>
      <c r="E124" s="19" t="s">
        <v>337</v>
      </c>
      <c r="F124" s="19" t="s">
        <v>639</v>
      </c>
      <c r="G124" s="5"/>
      <c r="H124" s="19" t="s">
        <v>755</v>
      </c>
      <c r="I124" s="19" t="s">
        <v>34</v>
      </c>
      <c r="J124" s="19" t="s">
        <v>770</v>
      </c>
      <c r="K124" s="18">
        <v>396000</v>
      </c>
      <c r="L124" s="20" t="s">
        <v>893</v>
      </c>
      <c r="M124" s="9">
        <f t="shared" si="1"/>
        <v>467280</v>
      </c>
      <c r="N124" s="19" t="s">
        <v>28</v>
      </c>
    </row>
    <row r="125" spans="1:14">
      <c r="A125" s="17" t="s">
        <v>54</v>
      </c>
      <c r="B125" s="18">
        <v>25091</v>
      </c>
      <c r="C125" s="19" t="s">
        <v>110</v>
      </c>
      <c r="D125" s="18">
        <v>9824</v>
      </c>
      <c r="E125" s="19" t="s">
        <v>338</v>
      </c>
      <c r="F125" s="19" t="s">
        <v>640</v>
      </c>
      <c r="G125" s="5"/>
      <c r="H125" s="19" t="s">
        <v>31</v>
      </c>
      <c r="I125" s="19" t="s">
        <v>766</v>
      </c>
      <c r="J125" s="19" t="s">
        <v>770</v>
      </c>
      <c r="K125" s="18">
        <v>384550</v>
      </c>
      <c r="L125" s="20" t="s">
        <v>894</v>
      </c>
      <c r="M125" s="9">
        <f t="shared" si="1"/>
        <v>453769</v>
      </c>
      <c r="N125" s="19" t="s">
        <v>28</v>
      </c>
    </row>
    <row r="126" spans="1:14">
      <c r="A126" s="17" t="s">
        <v>54</v>
      </c>
      <c r="B126" s="18">
        <v>24784</v>
      </c>
      <c r="C126" s="19" t="s">
        <v>111</v>
      </c>
      <c r="D126" s="18">
        <v>10221</v>
      </c>
      <c r="E126" s="19" t="s">
        <v>339</v>
      </c>
      <c r="F126" s="19" t="s">
        <v>641</v>
      </c>
      <c r="G126" s="5"/>
      <c r="H126" s="19" t="s">
        <v>755</v>
      </c>
      <c r="I126" s="19" t="s">
        <v>34</v>
      </c>
      <c r="J126" s="19" t="s">
        <v>770</v>
      </c>
      <c r="K126" s="18">
        <v>646000</v>
      </c>
      <c r="L126" s="20" t="s">
        <v>895</v>
      </c>
      <c r="M126" s="9">
        <f t="shared" si="1"/>
        <v>762280</v>
      </c>
      <c r="N126" s="19" t="s">
        <v>28</v>
      </c>
    </row>
    <row r="127" spans="1:14">
      <c r="A127" s="17" t="s">
        <v>54</v>
      </c>
      <c r="B127" s="18">
        <v>24784</v>
      </c>
      <c r="C127" s="19" t="s">
        <v>111</v>
      </c>
      <c r="D127" s="18">
        <v>10359</v>
      </c>
      <c r="E127" s="19" t="s">
        <v>340</v>
      </c>
      <c r="F127" s="19" t="s">
        <v>590</v>
      </c>
      <c r="G127" s="5"/>
      <c r="H127" s="19" t="s">
        <v>33</v>
      </c>
      <c r="I127" s="19" t="s">
        <v>34</v>
      </c>
      <c r="J127" s="19" t="s">
        <v>770</v>
      </c>
      <c r="K127" s="18">
        <v>12800</v>
      </c>
      <c r="L127" s="20" t="s">
        <v>896</v>
      </c>
      <c r="M127" s="9">
        <f t="shared" si="1"/>
        <v>15104</v>
      </c>
      <c r="N127" s="19" t="s">
        <v>28</v>
      </c>
    </row>
    <row r="128" spans="1:14">
      <c r="A128" s="17" t="s">
        <v>54</v>
      </c>
      <c r="B128" s="18">
        <v>2084</v>
      </c>
      <c r="C128" s="19" t="s">
        <v>85</v>
      </c>
      <c r="D128" s="18">
        <v>10188</v>
      </c>
      <c r="E128" s="19" t="s">
        <v>341</v>
      </c>
      <c r="F128" s="19" t="s">
        <v>642</v>
      </c>
      <c r="G128" s="5"/>
      <c r="H128" s="19" t="s">
        <v>33</v>
      </c>
      <c r="I128" s="19" t="s">
        <v>34</v>
      </c>
      <c r="J128" s="19" t="s">
        <v>770</v>
      </c>
      <c r="K128" s="18">
        <v>1645060</v>
      </c>
      <c r="L128" s="20" t="s">
        <v>897</v>
      </c>
      <c r="M128" s="9">
        <f t="shared" si="1"/>
        <v>1941170.8</v>
      </c>
      <c r="N128" s="19" t="s">
        <v>28</v>
      </c>
    </row>
    <row r="129" spans="1:14">
      <c r="A129" s="17" t="s">
        <v>54</v>
      </c>
      <c r="B129" s="18">
        <v>2084</v>
      </c>
      <c r="C129" s="19" t="s">
        <v>85</v>
      </c>
      <c r="D129" s="18">
        <v>10139</v>
      </c>
      <c r="E129" s="19" t="s">
        <v>342</v>
      </c>
      <c r="F129" s="19" t="s">
        <v>643</v>
      </c>
      <c r="G129" s="5"/>
      <c r="H129" s="19" t="s">
        <v>757</v>
      </c>
      <c r="I129" s="19" t="s">
        <v>767</v>
      </c>
      <c r="J129" s="19" t="s">
        <v>770</v>
      </c>
      <c r="K129" s="18">
        <v>277040</v>
      </c>
      <c r="L129" s="20" t="s">
        <v>898</v>
      </c>
      <c r="M129" s="9">
        <f t="shared" si="1"/>
        <v>326907.2</v>
      </c>
      <c r="N129" s="19" t="s">
        <v>29</v>
      </c>
    </row>
    <row r="130" spans="1:14">
      <c r="A130" s="17" t="s">
        <v>54</v>
      </c>
      <c r="B130" s="18">
        <v>2084</v>
      </c>
      <c r="C130" s="19" t="s">
        <v>85</v>
      </c>
      <c r="D130" s="18">
        <v>10604</v>
      </c>
      <c r="E130" s="19" t="s">
        <v>343</v>
      </c>
      <c r="F130" s="19" t="s">
        <v>644</v>
      </c>
      <c r="G130" s="5"/>
      <c r="H130" s="19" t="s">
        <v>755</v>
      </c>
      <c r="I130" s="19" t="s">
        <v>34</v>
      </c>
      <c r="J130" s="19" t="s">
        <v>770</v>
      </c>
      <c r="K130" s="18">
        <v>1429230</v>
      </c>
      <c r="L130" s="20" t="s">
        <v>899</v>
      </c>
      <c r="M130" s="9">
        <f t="shared" ref="M130:M193" si="2">+K130+L130</f>
        <v>1686491.4</v>
      </c>
      <c r="N130" s="19" t="s">
        <v>28</v>
      </c>
    </row>
    <row r="131" spans="1:14">
      <c r="A131" s="17" t="s">
        <v>54</v>
      </c>
      <c r="B131" s="18">
        <v>2084</v>
      </c>
      <c r="C131" s="19" t="s">
        <v>85</v>
      </c>
      <c r="D131" s="18">
        <v>9929</v>
      </c>
      <c r="E131" s="19" t="s">
        <v>344</v>
      </c>
      <c r="F131" s="19" t="s">
        <v>645</v>
      </c>
      <c r="G131" s="5"/>
      <c r="H131" s="19" t="s">
        <v>755</v>
      </c>
      <c r="I131" s="19" t="s">
        <v>34</v>
      </c>
      <c r="J131" s="19" t="s">
        <v>770</v>
      </c>
      <c r="K131" s="18">
        <v>1852950</v>
      </c>
      <c r="L131" s="20" t="s">
        <v>900</v>
      </c>
      <c r="M131" s="9">
        <f t="shared" si="2"/>
        <v>2186481</v>
      </c>
      <c r="N131" s="19" t="s">
        <v>29</v>
      </c>
    </row>
    <row r="132" spans="1:14">
      <c r="A132" s="17" t="s">
        <v>54</v>
      </c>
      <c r="B132" s="18">
        <v>2084</v>
      </c>
      <c r="C132" s="19" t="s">
        <v>85</v>
      </c>
      <c r="D132" s="18">
        <v>10223</v>
      </c>
      <c r="E132" s="19" t="s">
        <v>345</v>
      </c>
      <c r="F132" s="19" t="s">
        <v>572</v>
      </c>
      <c r="G132" s="5"/>
      <c r="H132" s="19" t="s">
        <v>756</v>
      </c>
      <c r="I132" s="19" t="s">
        <v>767</v>
      </c>
      <c r="J132" s="19" t="s">
        <v>770</v>
      </c>
      <c r="K132" s="18">
        <v>285860</v>
      </c>
      <c r="L132" s="20" t="s">
        <v>901</v>
      </c>
      <c r="M132" s="9">
        <f t="shared" si="2"/>
        <v>337314.8</v>
      </c>
      <c r="N132" s="19" t="s">
        <v>29</v>
      </c>
    </row>
    <row r="133" spans="1:14">
      <c r="A133" s="17" t="s">
        <v>54</v>
      </c>
      <c r="B133" s="18">
        <v>2084</v>
      </c>
      <c r="C133" s="19" t="s">
        <v>85</v>
      </c>
      <c r="D133" s="18">
        <v>10426</v>
      </c>
      <c r="E133" s="19" t="s">
        <v>346</v>
      </c>
      <c r="F133" s="19" t="s">
        <v>646</v>
      </c>
      <c r="G133" s="5"/>
      <c r="H133" s="19" t="s">
        <v>755</v>
      </c>
      <c r="I133" s="19" t="s">
        <v>34</v>
      </c>
      <c r="J133" s="19" t="s">
        <v>770</v>
      </c>
      <c r="K133" s="18">
        <v>1889814.75</v>
      </c>
      <c r="L133" s="20" t="s">
        <v>902</v>
      </c>
      <c r="M133" s="9">
        <f t="shared" si="2"/>
        <v>2229981.41</v>
      </c>
      <c r="N133" s="19" t="s">
        <v>28</v>
      </c>
    </row>
    <row r="134" spans="1:14">
      <c r="A134" s="17" t="s">
        <v>54</v>
      </c>
      <c r="B134" s="18">
        <v>2084</v>
      </c>
      <c r="C134" s="19" t="s">
        <v>85</v>
      </c>
      <c r="D134" s="18">
        <v>10194</v>
      </c>
      <c r="E134" s="19" t="s">
        <v>347</v>
      </c>
      <c r="F134" s="19" t="s">
        <v>647</v>
      </c>
      <c r="G134" s="5"/>
      <c r="H134" s="19" t="s">
        <v>760</v>
      </c>
      <c r="I134" s="19" t="s">
        <v>34</v>
      </c>
      <c r="J134" s="19" t="s">
        <v>770</v>
      </c>
      <c r="K134" s="18">
        <v>89200</v>
      </c>
      <c r="L134" s="20"/>
      <c r="M134" s="9">
        <f t="shared" si="2"/>
        <v>89200</v>
      </c>
      <c r="N134" s="19" t="s">
        <v>29</v>
      </c>
    </row>
    <row r="135" spans="1:14">
      <c r="A135" s="17" t="s">
        <v>54</v>
      </c>
      <c r="B135" s="18">
        <v>2084</v>
      </c>
      <c r="C135" s="19" t="s">
        <v>85</v>
      </c>
      <c r="D135" s="18">
        <v>10569</v>
      </c>
      <c r="E135" s="19" t="s">
        <v>348</v>
      </c>
      <c r="F135" s="19" t="s">
        <v>648</v>
      </c>
      <c r="G135" s="5"/>
      <c r="H135" s="19" t="s">
        <v>33</v>
      </c>
      <c r="I135" s="19" t="s">
        <v>34</v>
      </c>
      <c r="J135" s="19" t="s">
        <v>770</v>
      </c>
      <c r="K135" s="18">
        <v>3083560</v>
      </c>
      <c r="L135" s="20" t="s">
        <v>903</v>
      </c>
      <c r="M135" s="9">
        <f t="shared" si="2"/>
        <v>3638600.8</v>
      </c>
      <c r="N135" s="19" t="s">
        <v>28</v>
      </c>
    </row>
    <row r="136" spans="1:14">
      <c r="A136" s="17" t="s">
        <v>54</v>
      </c>
      <c r="B136" s="18">
        <v>2084</v>
      </c>
      <c r="C136" s="19" t="s">
        <v>85</v>
      </c>
      <c r="D136" s="18">
        <v>10560</v>
      </c>
      <c r="E136" s="19" t="s">
        <v>349</v>
      </c>
      <c r="F136" s="19" t="s">
        <v>601</v>
      </c>
      <c r="G136" s="5"/>
      <c r="H136" s="19" t="s">
        <v>762</v>
      </c>
      <c r="I136" s="19" t="s">
        <v>34</v>
      </c>
      <c r="J136" s="19" t="s">
        <v>770</v>
      </c>
      <c r="K136" s="18">
        <v>134625</v>
      </c>
      <c r="L136" s="20" t="s">
        <v>904</v>
      </c>
      <c r="M136" s="9">
        <f t="shared" si="2"/>
        <v>158857.5</v>
      </c>
      <c r="N136" s="19" t="s">
        <v>29</v>
      </c>
    </row>
    <row r="137" spans="1:14">
      <c r="A137" s="17" t="s">
        <v>54</v>
      </c>
      <c r="B137" s="18">
        <v>2084</v>
      </c>
      <c r="C137" s="19" t="s">
        <v>85</v>
      </c>
      <c r="D137" s="18">
        <v>10495</v>
      </c>
      <c r="E137" s="19" t="s">
        <v>321</v>
      </c>
      <c r="F137" s="19" t="s">
        <v>624</v>
      </c>
      <c r="G137" s="5"/>
      <c r="H137" s="19" t="s">
        <v>756</v>
      </c>
      <c r="I137" s="19" t="s">
        <v>767</v>
      </c>
      <c r="J137" s="19" t="s">
        <v>770</v>
      </c>
      <c r="K137" s="18">
        <v>19980</v>
      </c>
      <c r="L137" s="20" t="s">
        <v>905</v>
      </c>
      <c r="M137" s="9">
        <f t="shared" si="2"/>
        <v>23576.400000000001</v>
      </c>
      <c r="N137" s="19" t="s">
        <v>29</v>
      </c>
    </row>
    <row r="138" spans="1:14">
      <c r="A138" s="17" t="s">
        <v>54</v>
      </c>
      <c r="B138" s="18">
        <v>2084</v>
      </c>
      <c r="C138" s="19" t="s">
        <v>85</v>
      </c>
      <c r="D138" s="18">
        <v>10379</v>
      </c>
      <c r="E138" s="19" t="s">
        <v>350</v>
      </c>
      <c r="F138" s="19" t="s">
        <v>649</v>
      </c>
      <c r="G138" s="5"/>
      <c r="H138" s="19" t="s">
        <v>756</v>
      </c>
      <c r="I138" s="19" t="s">
        <v>767</v>
      </c>
      <c r="J138" s="19" t="s">
        <v>770</v>
      </c>
      <c r="K138" s="18">
        <v>423600</v>
      </c>
      <c r="L138" s="20" t="s">
        <v>906</v>
      </c>
      <c r="M138" s="9">
        <f t="shared" si="2"/>
        <v>499848</v>
      </c>
      <c r="N138" s="19" t="s">
        <v>29</v>
      </c>
    </row>
    <row r="139" spans="1:14">
      <c r="A139" s="17" t="s">
        <v>54</v>
      </c>
      <c r="B139" s="18">
        <v>2084</v>
      </c>
      <c r="C139" s="19" t="s">
        <v>85</v>
      </c>
      <c r="D139" s="18">
        <v>10270</v>
      </c>
      <c r="E139" s="19" t="s">
        <v>351</v>
      </c>
      <c r="F139" s="19" t="s">
        <v>578</v>
      </c>
      <c r="G139" s="5"/>
      <c r="H139" s="19" t="s">
        <v>756</v>
      </c>
      <c r="I139" s="19" t="s">
        <v>767</v>
      </c>
      <c r="J139" s="19" t="s">
        <v>770</v>
      </c>
      <c r="K139" s="18">
        <v>320000</v>
      </c>
      <c r="L139" s="20" t="s">
        <v>907</v>
      </c>
      <c r="M139" s="9">
        <f t="shared" si="2"/>
        <v>377600</v>
      </c>
      <c r="N139" s="19" t="s">
        <v>29</v>
      </c>
    </row>
    <row r="140" spans="1:14">
      <c r="A140" s="17" t="s">
        <v>54</v>
      </c>
      <c r="B140" s="18">
        <v>2084</v>
      </c>
      <c r="C140" s="19" t="s">
        <v>85</v>
      </c>
      <c r="D140" s="18">
        <v>10416</v>
      </c>
      <c r="E140" s="19" t="s">
        <v>307</v>
      </c>
      <c r="F140" s="19" t="s">
        <v>537</v>
      </c>
      <c r="G140" s="5"/>
      <c r="H140" s="19" t="s">
        <v>756</v>
      </c>
      <c r="I140" s="19" t="s">
        <v>767</v>
      </c>
      <c r="J140" s="19" t="s">
        <v>770</v>
      </c>
      <c r="K140" s="18">
        <v>358480</v>
      </c>
      <c r="L140" s="20" t="s">
        <v>908</v>
      </c>
      <c r="M140" s="9">
        <f t="shared" si="2"/>
        <v>423006.4</v>
      </c>
      <c r="N140" s="19" t="s">
        <v>29</v>
      </c>
    </row>
    <row r="141" spans="1:14">
      <c r="A141" s="17" t="s">
        <v>54</v>
      </c>
      <c r="B141" s="18">
        <v>2084</v>
      </c>
      <c r="C141" s="19" t="s">
        <v>85</v>
      </c>
      <c r="D141" s="18">
        <v>10621</v>
      </c>
      <c r="E141" s="19" t="s">
        <v>352</v>
      </c>
      <c r="F141" s="19" t="s">
        <v>650</v>
      </c>
      <c r="G141" s="5"/>
      <c r="H141" s="19" t="s">
        <v>756</v>
      </c>
      <c r="I141" s="19" t="s">
        <v>767</v>
      </c>
      <c r="J141" s="19" t="s">
        <v>770</v>
      </c>
      <c r="K141" s="18">
        <v>318900</v>
      </c>
      <c r="L141" s="20" t="s">
        <v>909</v>
      </c>
      <c r="M141" s="9">
        <f t="shared" si="2"/>
        <v>376302</v>
      </c>
      <c r="N141" s="19" t="s">
        <v>29</v>
      </c>
    </row>
    <row r="142" spans="1:14">
      <c r="A142" s="17" t="s">
        <v>54</v>
      </c>
      <c r="B142" s="18">
        <v>2084</v>
      </c>
      <c r="C142" s="19" t="s">
        <v>85</v>
      </c>
      <c r="D142" s="18">
        <v>10302</v>
      </c>
      <c r="E142" s="19" t="s">
        <v>353</v>
      </c>
      <c r="F142" s="19" t="s">
        <v>616</v>
      </c>
      <c r="G142" s="5"/>
      <c r="H142" s="19" t="s">
        <v>755</v>
      </c>
      <c r="I142" s="19" t="s">
        <v>34</v>
      </c>
      <c r="J142" s="19" t="s">
        <v>770</v>
      </c>
      <c r="K142" s="18">
        <v>1537500</v>
      </c>
      <c r="L142" s="20" t="s">
        <v>910</v>
      </c>
      <c r="M142" s="9">
        <f t="shared" si="2"/>
        <v>1814250</v>
      </c>
      <c r="N142" s="19" t="s">
        <v>28</v>
      </c>
    </row>
    <row r="143" spans="1:14">
      <c r="A143" s="17" t="s">
        <v>54</v>
      </c>
      <c r="B143" s="18">
        <v>2084</v>
      </c>
      <c r="C143" s="19" t="s">
        <v>85</v>
      </c>
      <c r="D143" s="18">
        <v>10339</v>
      </c>
      <c r="E143" s="19" t="s">
        <v>354</v>
      </c>
      <c r="F143" s="19" t="s">
        <v>582</v>
      </c>
      <c r="G143" s="5"/>
      <c r="H143" s="19" t="s">
        <v>33</v>
      </c>
      <c r="I143" s="19" t="s">
        <v>34</v>
      </c>
      <c r="J143" s="19" t="s">
        <v>770</v>
      </c>
      <c r="K143" s="18">
        <v>3140000.298</v>
      </c>
      <c r="L143" s="20" t="s">
        <v>911</v>
      </c>
      <c r="M143" s="9">
        <f t="shared" si="2"/>
        <v>3705200.378</v>
      </c>
      <c r="N143" s="19" t="s">
        <v>28</v>
      </c>
    </row>
    <row r="144" spans="1:14">
      <c r="A144" s="17" t="s">
        <v>54</v>
      </c>
      <c r="B144" s="18">
        <v>2084</v>
      </c>
      <c r="C144" s="19" t="s">
        <v>85</v>
      </c>
      <c r="D144" s="18">
        <v>10314</v>
      </c>
      <c r="E144" s="19" t="s">
        <v>355</v>
      </c>
      <c r="F144" s="19" t="s">
        <v>602</v>
      </c>
      <c r="G144" s="5"/>
      <c r="H144" s="19" t="s">
        <v>756</v>
      </c>
      <c r="I144" s="19" t="s">
        <v>767</v>
      </c>
      <c r="J144" s="19" t="s">
        <v>770</v>
      </c>
      <c r="K144" s="18">
        <v>174000</v>
      </c>
      <c r="L144" s="20" t="s">
        <v>912</v>
      </c>
      <c r="M144" s="9">
        <f t="shared" si="2"/>
        <v>205320</v>
      </c>
      <c r="N144" s="19" t="s">
        <v>29</v>
      </c>
    </row>
    <row r="145" spans="1:14">
      <c r="A145" s="17" t="s">
        <v>54</v>
      </c>
      <c r="B145" s="18">
        <v>2084</v>
      </c>
      <c r="C145" s="19" t="s">
        <v>85</v>
      </c>
      <c r="D145" s="18">
        <v>9962</v>
      </c>
      <c r="E145" s="19" t="s">
        <v>356</v>
      </c>
      <c r="F145" s="19" t="s">
        <v>651</v>
      </c>
      <c r="G145" s="5"/>
      <c r="H145" s="19" t="s">
        <v>755</v>
      </c>
      <c r="I145" s="19" t="s">
        <v>34</v>
      </c>
      <c r="J145" s="19" t="s">
        <v>770</v>
      </c>
      <c r="K145" s="18">
        <v>1858926</v>
      </c>
      <c r="L145" s="20" t="s">
        <v>913</v>
      </c>
      <c r="M145" s="9">
        <f t="shared" si="2"/>
        <v>2193532.6800000002</v>
      </c>
      <c r="N145" s="19" t="s">
        <v>29</v>
      </c>
    </row>
    <row r="146" spans="1:14">
      <c r="A146" s="17" t="s">
        <v>54</v>
      </c>
      <c r="B146" s="18">
        <v>2084</v>
      </c>
      <c r="C146" s="19" t="s">
        <v>85</v>
      </c>
      <c r="D146" s="18">
        <v>10356</v>
      </c>
      <c r="E146" s="19" t="s">
        <v>357</v>
      </c>
      <c r="F146" s="19" t="s">
        <v>554</v>
      </c>
      <c r="G146" s="5"/>
      <c r="H146" s="19" t="s">
        <v>33</v>
      </c>
      <c r="I146" s="19" t="s">
        <v>34</v>
      </c>
      <c r="J146" s="19" t="s">
        <v>770</v>
      </c>
      <c r="K146" s="18">
        <v>642890</v>
      </c>
      <c r="L146" s="20" t="s">
        <v>914</v>
      </c>
      <c r="M146" s="9">
        <f t="shared" si="2"/>
        <v>758610.2</v>
      </c>
      <c r="N146" s="19" t="s">
        <v>28</v>
      </c>
    </row>
    <row r="147" spans="1:14">
      <c r="A147" s="17" t="s">
        <v>54</v>
      </c>
      <c r="B147" s="18">
        <v>18546</v>
      </c>
      <c r="C147" s="19" t="s">
        <v>46</v>
      </c>
      <c r="D147" s="18">
        <v>10571</v>
      </c>
      <c r="E147" s="19" t="s">
        <v>358</v>
      </c>
      <c r="F147" s="19" t="s">
        <v>648</v>
      </c>
      <c r="G147" s="5"/>
      <c r="H147" s="19" t="s">
        <v>763</v>
      </c>
      <c r="I147" s="19" t="s">
        <v>34</v>
      </c>
      <c r="J147" s="19" t="s">
        <v>770</v>
      </c>
      <c r="K147" s="18">
        <v>58506</v>
      </c>
      <c r="L147" s="20" t="s">
        <v>915</v>
      </c>
      <c r="M147" s="9">
        <f t="shared" si="2"/>
        <v>69037.08</v>
      </c>
      <c r="N147" s="19" t="s">
        <v>29</v>
      </c>
    </row>
    <row r="148" spans="1:14">
      <c r="A148" s="17" t="s">
        <v>54</v>
      </c>
      <c r="B148" s="18">
        <v>18546</v>
      </c>
      <c r="C148" s="19" t="s">
        <v>46</v>
      </c>
      <c r="D148" s="18">
        <v>10506</v>
      </c>
      <c r="E148" s="19" t="s">
        <v>359</v>
      </c>
      <c r="F148" s="19" t="s">
        <v>652</v>
      </c>
      <c r="G148" s="5"/>
      <c r="H148" s="19" t="s">
        <v>759</v>
      </c>
      <c r="I148" s="19" t="s">
        <v>34</v>
      </c>
      <c r="J148" s="19" t="s">
        <v>770</v>
      </c>
      <c r="K148" s="18">
        <v>206000</v>
      </c>
      <c r="L148" s="20" t="s">
        <v>916</v>
      </c>
      <c r="M148" s="9">
        <f t="shared" si="2"/>
        <v>243080</v>
      </c>
      <c r="N148" s="19" t="s">
        <v>29</v>
      </c>
    </row>
    <row r="149" spans="1:14">
      <c r="A149" s="17" t="s">
        <v>54</v>
      </c>
      <c r="B149" s="18">
        <v>18546</v>
      </c>
      <c r="C149" s="19" t="s">
        <v>46</v>
      </c>
      <c r="D149" s="18">
        <v>10595</v>
      </c>
      <c r="E149" s="19" t="s">
        <v>360</v>
      </c>
      <c r="F149" s="19" t="s">
        <v>653</v>
      </c>
      <c r="G149" s="5"/>
      <c r="H149" s="19" t="s">
        <v>759</v>
      </c>
      <c r="I149" s="19" t="s">
        <v>34</v>
      </c>
      <c r="J149" s="19" t="s">
        <v>770</v>
      </c>
      <c r="K149" s="18">
        <v>49170</v>
      </c>
      <c r="L149" s="20" t="s">
        <v>917</v>
      </c>
      <c r="M149" s="9">
        <f t="shared" si="2"/>
        <v>58020.6</v>
      </c>
      <c r="N149" s="19" t="s">
        <v>29</v>
      </c>
    </row>
    <row r="150" spans="1:14">
      <c r="A150" s="17" t="s">
        <v>54</v>
      </c>
      <c r="B150" s="18">
        <v>18546</v>
      </c>
      <c r="C150" s="19" t="s">
        <v>46</v>
      </c>
      <c r="D150" s="18">
        <v>10175</v>
      </c>
      <c r="E150" s="19" t="s">
        <v>361</v>
      </c>
      <c r="F150" s="19" t="s">
        <v>654</v>
      </c>
      <c r="G150" s="5"/>
      <c r="H150" s="19" t="s">
        <v>760</v>
      </c>
      <c r="I150" s="19" t="s">
        <v>34</v>
      </c>
      <c r="J150" s="19" t="s">
        <v>770</v>
      </c>
      <c r="K150" s="18">
        <v>42665</v>
      </c>
      <c r="L150" s="20" t="s">
        <v>918</v>
      </c>
      <c r="M150" s="9">
        <f t="shared" si="2"/>
        <v>50344.7</v>
      </c>
      <c r="N150" s="19" t="s">
        <v>29</v>
      </c>
    </row>
    <row r="151" spans="1:14">
      <c r="A151" s="17" t="s">
        <v>54</v>
      </c>
      <c r="B151" s="18">
        <v>18546</v>
      </c>
      <c r="C151" s="19" t="s">
        <v>46</v>
      </c>
      <c r="D151" s="18">
        <v>10262</v>
      </c>
      <c r="E151" s="19" t="s">
        <v>362</v>
      </c>
      <c r="F151" s="19" t="s">
        <v>655</v>
      </c>
      <c r="G151" s="5"/>
      <c r="H151" s="19" t="s">
        <v>756</v>
      </c>
      <c r="I151" s="19" t="s">
        <v>767</v>
      </c>
      <c r="J151" s="19" t="s">
        <v>770</v>
      </c>
      <c r="K151" s="18">
        <v>13250</v>
      </c>
      <c r="L151" s="20" t="s">
        <v>919</v>
      </c>
      <c r="M151" s="9">
        <f t="shared" si="2"/>
        <v>15635</v>
      </c>
      <c r="N151" s="19" t="s">
        <v>29</v>
      </c>
    </row>
    <row r="152" spans="1:14">
      <c r="A152" s="17" t="s">
        <v>54</v>
      </c>
      <c r="B152" s="18">
        <v>18546</v>
      </c>
      <c r="C152" s="19" t="s">
        <v>46</v>
      </c>
      <c r="D152" s="18">
        <v>10549</v>
      </c>
      <c r="E152" s="19" t="s">
        <v>363</v>
      </c>
      <c r="F152" s="19" t="s">
        <v>656</v>
      </c>
      <c r="G152" s="5"/>
      <c r="H152" s="19" t="s">
        <v>759</v>
      </c>
      <c r="I152" s="19" t="s">
        <v>34</v>
      </c>
      <c r="J152" s="19" t="s">
        <v>770</v>
      </c>
      <c r="K152" s="18">
        <v>349000</v>
      </c>
      <c r="L152" s="20" t="s">
        <v>920</v>
      </c>
      <c r="M152" s="9">
        <f t="shared" si="2"/>
        <v>411820</v>
      </c>
      <c r="N152" s="19" t="s">
        <v>29</v>
      </c>
    </row>
    <row r="153" spans="1:14">
      <c r="A153" s="17" t="s">
        <v>54</v>
      </c>
      <c r="B153" s="18">
        <v>18546</v>
      </c>
      <c r="C153" s="19" t="s">
        <v>46</v>
      </c>
      <c r="D153" s="18">
        <v>10409</v>
      </c>
      <c r="E153" s="19" t="s">
        <v>364</v>
      </c>
      <c r="F153" s="19" t="s">
        <v>657</v>
      </c>
      <c r="G153" s="5"/>
      <c r="H153" s="19" t="s">
        <v>757</v>
      </c>
      <c r="I153" s="19" t="s">
        <v>767</v>
      </c>
      <c r="J153" s="19" t="s">
        <v>770</v>
      </c>
      <c r="K153" s="18">
        <v>113400</v>
      </c>
      <c r="L153" s="20" t="s">
        <v>921</v>
      </c>
      <c r="M153" s="9">
        <f t="shared" si="2"/>
        <v>133812</v>
      </c>
      <c r="N153" s="19" t="s">
        <v>29</v>
      </c>
    </row>
    <row r="154" spans="1:14">
      <c r="A154" s="17" t="s">
        <v>54</v>
      </c>
      <c r="B154" s="18">
        <v>18546</v>
      </c>
      <c r="C154" s="19" t="s">
        <v>46</v>
      </c>
      <c r="D154" s="18">
        <v>10567</v>
      </c>
      <c r="E154" s="19" t="s">
        <v>365</v>
      </c>
      <c r="F154" s="19" t="s">
        <v>648</v>
      </c>
      <c r="G154" s="5"/>
      <c r="H154" s="19" t="s">
        <v>759</v>
      </c>
      <c r="I154" s="19" t="s">
        <v>34</v>
      </c>
      <c r="J154" s="19" t="s">
        <v>770</v>
      </c>
      <c r="K154" s="18">
        <v>61281</v>
      </c>
      <c r="L154" s="20" t="s">
        <v>922</v>
      </c>
      <c r="M154" s="9">
        <f t="shared" si="2"/>
        <v>72311.58</v>
      </c>
      <c r="N154" s="19" t="s">
        <v>29</v>
      </c>
    </row>
    <row r="155" spans="1:14">
      <c r="A155" s="17" t="s">
        <v>54</v>
      </c>
      <c r="B155" s="18">
        <v>18546</v>
      </c>
      <c r="C155" s="19" t="s">
        <v>46</v>
      </c>
      <c r="D155" s="18">
        <v>10544</v>
      </c>
      <c r="E155" s="19" t="s">
        <v>366</v>
      </c>
      <c r="F155" s="19" t="s">
        <v>658</v>
      </c>
      <c r="G155" s="5"/>
      <c r="H155" s="19" t="s">
        <v>762</v>
      </c>
      <c r="I155" s="19" t="s">
        <v>34</v>
      </c>
      <c r="J155" s="19" t="s">
        <v>770</v>
      </c>
      <c r="K155" s="18">
        <v>37260</v>
      </c>
      <c r="L155" s="20" t="s">
        <v>923</v>
      </c>
      <c r="M155" s="9">
        <f t="shared" si="2"/>
        <v>43966.8</v>
      </c>
      <c r="N155" s="19" t="s">
        <v>29</v>
      </c>
    </row>
    <row r="156" spans="1:14">
      <c r="A156" s="17" t="s">
        <v>54</v>
      </c>
      <c r="B156" s="18">
        <v>18546</v>
      </c>
      <c r="C156" s="19" t="s">
        <v>46</v>
      </c>
      <c r="D156" s="18">
        <v>10217</v>
      </c>
      <c r="E156" s="19" t="s">
        <v>367</v>
      </c>
      <c r="F156" s="19" t="s">
        <v>659</v>
      </c>
      <c r="G156" s="5"/>
      <c r="H156" s="19" t="s">
        <v>756</v>
      </c>
      <c r="I156" s="19" t="s">
        <v>767</v>
      </c>
      <c r="J156" s="19" t="s">
        <v>770</v>
      </c>
      <c r="K156" s="18">
        <v>217900</v>
      </c>
      <c r="L156" s="20" t="s">
        <v>924</v>
      </c>
      <c r="M156" s="9">
        <f t="shared" si="2"/>
        <v>257122</v>
      </c>
      <c r="N156" s="19" t="s">
        <v>29</v>
      </c>
    </row>
    <row r="157" spans="1:14">
      <c r="A157" s="17" t="s">
        <v>54</v>
      </c>
      <c r="B157" s="18">
        <v>18546</v>
      </c>
      <c r="C157" s="19" t="s">
        <v>46</v>
      </c>
      <c r="D157" s="18">
        <v>10243</v>
      </c>
      <c r="E157" s="19" t="s">
        <v>368</v>
      </c>
      <c r="F157" s="19" t="s">
        <v>660</v>
      </c>
      <c r="G157" s="5"/>
      <c r="H157" s="19" t="s">
        <v>756</v>
      </c>
      <c r="I157" s="19" t="s">
        <v>767</v>
      </c>
      <c r="J157" s="19" t="s">
        <v>770</v>
      </c>
      <c r="K157" s="18">
        <v>107808</v>
      </c>
      <c r="L157" s="20" t="s">
        <v>925</v>
      </c>
      <c r="M157" s="9">
        <f t="shared" si="2"/>
        <v>127213.44</v>
      </c>
      <c r="N157" s="19" t="s">
        <v>29</v>
      </c>
    </row>
    <row r="158" spans="1:14">
      <c r="A158" s="17" t="s">
        <v>54</v>
      </c>
      <c r="B158" s="18">
        <v>18546</v>
      </c>
      <c r="C158" s="19" t="s">
        <v>46</v>
      </c>
      <c r="D158" s="18">
        <v>10554</v>
      </c>
      <c r="E158" s="19" t="s">
        <v>369</v>
      </c>
      <c r="F158" s="19" t="s">
        <v>661</v>
      </c>
      <c r="G158" s="5"/>
      <c r="H158" s="19" t="s">
        <v>762</v>
      </c>
      <c r="I158" s="19" t="s">
        <v>34</v>
      </c>
      <c r="J158" s="19" t="s">
        <v>770</v>
      </c>
      <c r="K158" s="18">
        <v>102390</v>
      </c>
      <c r="L158" s="20" t="s">
        <v>926</v>
      </c>
      <c r="M158" s="9">
        <f t="shared" si="2"/>
        <v>120820.2</v>
      </c>
      <c r="N158" s="19" t="s">
        <v>29</v>
      </c>
    </row>
    <row r="159" spans="1:14">
      <c r="A159" s="17" t="s">
        <v>54</v>
      </c>
      <c r="B159" s="18">
        <v>18546</v>
      </c>
      <c r="C159" s="19" t="s">
        <v>46</v>
      </c>
      <c r="D159" s="18">
        <v>10410</v>
      </c>
      <c r="E159" s="19" t="s">
        <v>370</v>
      </c>
      <c r="F159" s="19" t="s">
        <v>657</v>
      </c>
      <c r="G159" s="5"/>
      <c r="H159" s="19" t="s">
        <v>759</v>
      </c>
      <c r="I159" s="19" t="s">
        <v>34</v>
      </c>
      <c r="J159" s="19" t="s">
        <v>770</v>
      </c>
      <c r="K159" s="18">
        <v>685950</v>
      </c>
      <c r="L159" s="20" t="s">
        <v>927</v>
      </c>
      <c r="M159" s="9">
        <f t="shared" si="2"/>
        <v>809421</v>
      </c>
      <c r="N159" s="19" t="s">
        <v>29</v>
      </c>
    </row>
    <row r="160" spans="1:14">
      <c r="A160" s="17" t="s">
        <v>54</v>
      </c>
      <c r="B160" s="18">
        <v>18546</v>
      </c>
      <c r="C160" s="19" t="s">
        <v>46</v>
      </c>
      <c r="D160" s="18">
        <v>10615</v>
      </c>
      <c r="E160" s="19" t="s">
        <v>371</v>
      </c>
      <c r="F160" s="19" t="s">
        <v>571</v>
      </c>
      <c r="G160" s="5"/>
      <c r="H160" s="19" t="s">
        <v>759</v>
      </c>
      <c r="I160" s="19" t="s">
        <v>34</v>
      </c>
      <c r="J160" s="19" t="s">
        <v>770</v>
      </c>
      <c r="K160" s="18">
        <v>61820</v>
      </c>
      <c r="L160" s="20" t="s">
        <v>928</v>
      </c>
      <c r="M160" s="9">
        <f t="shared" si="2"/>
        <v>79129.600000000006</v>
      </c>
      <c r="N160" s="19" t="s">
        <v>29</v>
      </c>
    </row>
    <row r="161" spans="1:14">
      <c r="A161" s="17" t="s">
        <v>54</v>
      </c>
      <c r="B161" s="18">
        <v>18546</v>
      </c>
      <c r="C161" s="19" t="s">
        <v>46</v>
      </c>
      <c r="D161" s="18">
        <v>10167</v>
      </c>
      <c r="E161" s="19" t="s">
        <v>372</v>
      </c>
      <c r="F161" s="19" t="s">
        <v>539</v>
      </c>
      <c r="G161" s="5"/>
      <c r="H161" s="19" t="s">
        <v>757</v>
      </c>
      <c r="I161" s="19" t="s">
        <v>767</v>
      </c>
      <c r="J161" s="19" t="s">
        <v>770</v>
      </c>
      <c r="K161" s="18">
        <v>219000</v>
      </c>
      <c r="L161" s="20" t="s">
        <v>929</v>
      </c>
      <c r="M161" s="9">
        <f t="shared" si="2"/>
        <v>258420</v>
      </c>
      <c r="N161" s="19" t="s">
        <v>29</v>
      </c>
    </row>
    <row r="162" spans="1:14">
      <c r="A162" s="17" t="s">
        <v>54</v>
      </c>
      <c r="B162" s="18">
        <v>18546</v>
      </c>
      <c r="C162" s="19" t="s">
        <v>46</v>
      </c>
      <c r="D162" s="18">
        <v>10583</v>
      </c>
      <c r="E162" s="19" t="s">
        <v>373</v>
      </c>
      <c r="F162" s="19" t="s">
        <v>662</v>
      </c>
      <c r="G162" s="5"/>
      <c r="H162" s="19" t="s">
        <v>759</v>
      </c>
      <c r="I162" s="19" t="s">
        <v>34</v>
      </c>
      <c r="J162" s="19" t="s">
        <v>770</v>
      </c>
      <c r="K162" s="18">
        <v>562078.56999999995</v>
      </c>
      <c r="L162" s="20" t="s">
        <v>930</v>
      </c>
      <c r="M162" s="9">
        <f t="shared" si="2"/>
        <v>663252.68999999994</v>
      </c>
      <c r="N162" s="19" t="s">
        <v>29</v>
      </c>
    </row>
    <row r="163" spans="1:14">
      <c r="A163" s="17" t="s">
        <v>54</v>
      </c>
      <c r="B163" s="18">
        <v>18546</v>
      </c>
      <c r="C163" s="19" t="s">
        <v>46</v>
      </c>
      <c r="D163" s="18">
        <v>10142</v>
      </c>
      <c r="E163" s="19" t="s">
        <v>374</v>
      </c>
      <c r="F163" s="19" t="s">
        <v>583</v>
      </c>
      <c r="G163" s="5"/>
      <c r="H163" s="19" t="s">
        <v>756</v>
      </c>
      <c r="I163" s="19" t="s">
        <v>767</v>
      </c>
      <c r="J163" s="19" t="s">
        <v>770</v>
      </c>
      <c r="K163" s="18">
        <v>83400</v>
      </c>
      <c r="L163" s="20" t="s">
        <v>42</v>
      </c>
      <c r="M163" s="9">
        <f t="shared" si="2"/>
        <v>98412</v>
      </c>
      <c r="N163" s="19" t="s">
        <v>29</v>
      </c>
    </row>
    <row r="164" spans="1:14">
      <c r="A164" s="17" t="s">
        <v>54</v>
      </c>
      <c r="B164" s="18">
        <v>20649</v>
      </c>
      <c r="C164" s="19" t="s">
        <v>112</v>
      </c>
      <c r="D164" s="18">
        <v>9849</v>
      </c>
      <c r="E164" s="19" t="s">
        <v>375</v>
      </c>
      <c r="F164" s="19" t="s">
        <v>663</v>
      </c>
      <c r="G164" s="5"/>
      <c r="H164" s="19" t="s">
        <v>758</v>
      </c>
      <c r="I164" s="19" t="s">
        <v>768</v>
      </c>
      <c r="J164" s="19" t="s">
        <v>770</v>
      </c>
      <c r="K164" s="18">
        <v>45000</v>
      </c>
      <c r="L164" s="20" t="s">
        <v>931</v>
      </c>
      <c r="M164" s="9">
        <f t="shared" si="2"/>
        <v>50400</v>
      </c>
      <c r="N164" s="19" t="s">
        <v>29</v>
      </c>
    </row>
    <row r="165" spans="1:14">
      <c r="A165" s="17" t="s">
        <v>54</v>
      </c>
      <c r="B165" s="18">
        <v>27222</v>
      </c>
      <c r="C165" s="19" t="s">
        <v>113</v>
      </c>
      <c r="D165" s="18">
        <v>10497</v>
      </c>
      <c r="E165" s="19" t="s">
        <v>376</v>
      </c>
      <c r="F165" s="19" t="s">
        <v>664</v>
      </c>
      <c r="G165" s="5"/>
      <c r="H165" s="19" t="s">
        <v>755</v>
      </c>
      <c r="I165" s="19" t="s">
        <v>34</v>
      </c>
      <c r="J165" s="19" t="s">
        <v>770</v>
      </c>
      <c r="K165" s="18">
        <v>381493.59</v>
      </c>
      <c r="L165" s="20" t="s">
        <v>932</v>
      </c>
      <c r="M165" s="9">
        <f t="shared" si="2"/>
        <v>450162.43000000005</v>
      </c>
      <c r="N165" s="19" t="s">
        <v>28</v>
      </c>
    </row>
    <row r="166" spans="1:14">
      <c r="A166" s="17" t="s">
        <v>54</v>
      </c>
      <c r="B166" s="18">
        <v>2739</v>
      </c>
      <c r="C166" s="19" t="s">
        <v>114</v>
      </c>
      <c r="D166" s="18">
        <v>10482</v>
      </c>
      <c r="E166" s="19" t="s">
        <v>225</v>
      </c>
      <c r="F166" s="19" t="s">
        <v>538</v>
      </c>
      <c r="G166" s="5"/>
      <c r="H166" s="19" t="s">
        <v>753</v>
      </c>
      <c r="I166" s="19" t="s">
        <v>34</v>
      </c>
      <c r="J166" s="19" t="s">
        <v>770</v>
      </c>
      <c r="K166" s="18">
        <v>124384</v>
      </c>
      <c r="L166" s="20" t="s">
        <v>933</v>
      </c>
      <c r="M166" s="9">
        <f t="shared" si="2"/>
        <v>139310.07999999999</v>
      </c>
      <c r="N166" s="19" t="s">
        <v>29</v>
      </c>
    </row>
    <row r="167" spans="1:14">
      <c r="A167" s="17" t="s">
        <v>54</v>
      </c>
      <c r="B167" s="18">
        <v>2381</v>
      </c>
      <c r="C167" s="19" t="s">
        <v>115</v>
      </c>
      <c r="D167" s="18">
        <v>10289</v>
      </c>
      <c r="E167" s="19" t="s">
        <v>323</v>
      </c>
      <c r="F167" s="19" t="s">
        <v>665</v>
      </c>
      <c r="G167" s="5"/>
      <c r="H167" s="19" t="s">
        <v>756</v>
      </c>
      <c r="I167" s="19" t="s">
        <v>767</v>
      </c>
      <c r="J167" s="19" t="s">
        <v>770</v>
      </c>
      <c r="K167" s="18">
        <v>53020</v>
      </c>
      <c r="L167" s="20" t="s">
        <v>934</v>
      </c>
      <c r="M167" s="9">
        <f t="shared" si="2"/>
        <v>62563.6</v>
      </c>
      <c r="N167" s="19" t="s">
        <v>29</v>
      </c>
    </row>
    <row r="168" spans="1:14">
      <c r="A168" s="17" t="s">
        <v>54</v>
      </c>
      <c r="B168" s="18">
        <v>2381</v>
      </c>
      <c r="C168" s="19" t="s">
        <v>115</v>
      </c>
      <c r="D168" s="18">
        <v>10281</v>
      </c>
      <c r="E168" s="19" t="s">
        <v>265</v>
      </c>
      <c r="F168" s="19" t="s">
        <v>666</v>
      </c>
      <c r="G168" s="5"/>
      <c r="H168" s="19" t="s">
        <v>756</v>
      </c>
      <c r="I168" s="19" t="s">
        <v>767</v>
      </c>
      <c r="J168" s="19" t="s">
        <v>770</v>
      </c>
      <c r="K168" s="18">
        <v>31000</v>
      </c>
      <c r="L168" s="20" t="s">
        <v>935</v>
      </c>
      <c r="M168" s="9">
        <f t="shared" si="2"/>
        <v>36580</v>
      </c>
      <c r="N168" s="19" t="s">
        <v>29</v>
      </c>
    </row>
    <row r="169" spans="1:14">
      <c r="A169" s="17" t="s">
        <v>54</v>
      </c>
      <c r="B169" s="18">
        <v>2381</v>
      </c>
      <c r="C169" s="19" t="s">
        <v>115</v>
      </c>
      <c r="D169" s="18">
        <v>10562</v>
      </c>
      <c r="E169" s="19" t="s">
        <v>377</v>
      </c>
      <c r="F169" s="19" t="s">
        <v>595</v>
      </c>
      <c r="G169" s="5"/>
      <c r="H169" s="19" t="s">
        <v>757</v>
      </c>
      <c r="I169" s="19" t="s">
        <v>767</v>
      </c>
      <c r="J169" s="19" t="s">
        <v>770</v>
      </c>
      <c r="K169" s="18">
        <v>103000</v>
      </c>
      <c r="L169" s="20" t="s">
        <v>936</v>
      </c>
      <c r="M169" s="9">
        <f t="shared" si="2"/>
        <v>121540</v>
      </c>
      <c r="N169" s="19" t="s">
        <v>29</v>
      </c>
    </row>
    <row r="170" spans="1:14">
      <c r="A170" s="17" t="s">
        <v>54</v>
      </c>
      <c r="B170" s="18">
        <v>2381</v>
      </c>
      <c r="C170" s="19" t="s">
        <v>115</v>
      </c>
      <c r="D170" s="18">
        <v>10505</v>
      </c>
      <c r="E170" s="19" t="s">
        <v>378</v>
      </c>
      <c r="F170" s="19" t="s">
        <v>652</v>
      </c>
      <c r="G170" s="5"/>
      <c r="H170" s="19" t="s">
        <v>762</v>
      </c>
      <c r="I170" s="19" t="s">
        <v>34</v>
      </c>
      <c r="J170" s="19" t="s">
        <v>770</v>
      </c>
      <c r="K170" s="18">
        <v>235000</v>
      </c>
      <c r="L170" s="20" t="s">
        <v>937</v>
      </c>
      <c r="M170" s="9">
        <f t="shared" si="2"/>
        <v>277300</v>
      </c>
      <c r="N170" s="19" t="s">
        <v>29</v>
      </c>
    </row>
    <row r="171" spans="1:14">
      <c r="A171" s="17" t="s">
        <v>54</v>
      </c>
      <c r="B171" s="18">
        <v>2381</v>
      </c>
      <c r="C171" s="19" t="s">
        <v>115</v>
      </c>
      <c r="D171" s="18">
        <v>10261</v>
      </c>
      <c r="E171" s="19" t="s">
        <v>362</v>
      </c>
      <c r="F171" s="19" t="s">
        <v>655</v>
      </c>
      <c r="G171" s="5"/>
      <c r="H171" s="19" t="s">
        <v>756</v>
      </c>
      <c r="I171" s="19" t="s">
        <v>767</v>
      </c>
      <c r="J171" s="19" t="s">
        <v>770</v>
      </c>
      <c r="K171" s="18">
        <v>21275</v>
      </c>
      <c r="L171" s="20" t="s">
        <v>938</v>
      </c>
      <c r="M171" s="9">
        <f t="shared" si="2"/>
        <v>25104.5</v>
      </c>
      <c r="N171" s="19" t="s">
        <v>29</v>
      </c>
    </row>
    <row r="172" spans="1:14">
      <c r="A172" s="17" t="s">
        <v>54</v>
      </c>
      <c r="B172" s="18">
        <v>2381</v>
      </c>
      <c r="C172" s="19" t="s">
        <v>115</v>
      </c>
      <c r="D172" s="18">
        <v>10513</v>
      </c>
      <c r="E172" s="19" t="s">
        <v>379</v>
      </c>
      <c r="F172" s="19" t="s">
        <v>667</v>
      </c>
      <c r="G172" s="5"/>
      <c r="H172" s="19" t="s">
        <v>759</v>
      </c>
      <c r="I172" s="19" t="s">
        <v>34</v>
      </c>
      <c r="J172" s="19" t="s">
        <v>770</v>
      </c>
      <c r="K172" s="18">
        <v>95665.5</v>
      </c>
      <c r="L172" s="20" t="s">
        <v>939</v>
      </c>
      <c r="M172" s="9">
        <f t="shared" si="2"/>
        <v>112885.3</v>
      </c>
      <c r="N172" s="19" t="s">
        <v>29</v>
      </c>
    </row>
    <row r="173" spans="1:14">
      <c r="A173" s="17" t="s">
        <v>54</v>
      </c>
      <c r="B173" s="18">
        <v>2381</v>
      </c>
      <c r="C173" s="19" t="s">
        <v>115</v>
      </c>
      <c r="D173" s="18">
        <v>10546</v>
      </c>
      <c r="E173" s="19" t="s">
        <v>366</v>
      </c>
      <c r="F173" s="19" t="s">
        <v>658</v>
      </c>
      <c r="G173" s="5"/>
      <c r="H173" s="19" t="s">
        <v>762</v>
      </c>
      <c r="I173" s="19" t="s">
        <v>34</v>
      </c>
      <c r="J173" s="19" t="s">
        <v>770</v>
      </c>
      <c r="K173" s="18">
        <v>48468.75</v>
      </c>
      <c r="L173" s="20" t="s">
        <v>940</v>
      </c>
      <c r="M173" s="9">
        <f t="shared" si="2"/>
        <v>57193.13</v>
      </c>
      <c r="N173" s="19" t="s">
        <v>29</v>
      </c>
    </row>
    <row r="174" spans="1:14">
      <c r="A174" s="17" t="s">
        <v>54</v>
      </c>
      <c r="B174" s="18">
        <v>2381</v>
      </c>
      <c r="C174" s="19" t="s">
        <v>115</v>
      </c>
      <c r="D174" s="18">
        <v>10611</v>
      </c>
      <c r="E174" s="19" t="s">
        <v>371</v>
      </c>
      <c r="F174" s="19" t="s">
        <v>668</v>
      </c>
      <c r="G174" s="5"/>
      <c r="H174" s="19" t="s">
        <v>759</v>
      </c>
      <c r="I174" s="19" t="s">
        <v>34</v>
      </c>
      <c r="J174" s="19" t="s">
        <v>770</v>
      </c>
      <c r="K174" s="18">
        <v>9450</v>
      </c>
      <c r="L174" s="20" t="s">
        <v>941</v>
      </c>
      <c r="M174" s="9">
        <f t="shared" si="2"/>
        <v>12096</v>
      </c>
      <c r="N174" s="19" t="s">
        <v>29</v>
      </c>
    </row>
    <row r="175" spans="1:14">
      <c r="A175" s="17" t="s">
        <v>54</v>
      </c>
      <c r="B175" s="18">
        <v>2381</v>
      </c>
      <c r="C175" s="19" t="s">
        <v>115</v>
      </c>
      <c r="D175" s="18">
        <v>10487</v>
      </c>
      <c r="E175" s="19" t="s">
        <v>380</v>
      </c>
      <c r="F175" s="19" t="s">
        <v>562</v>
      </c>
      <c r="G175" s="5"/>
      <c r="H175" s="19" t="s">
        <v>757</v>
      </c>
      <c r="I175" s="19" t="s">
        <v>767</v>
      </c>
      <c r="J175" s="19" t="s">
        <v>770</v>
      </c>
      <c r="K175" s="18">
        <v>195000</v>
      </c>
      <c r="L175" s="20" t="s">
        <v>942</v>
      </c>
      <c r="M175" s="9">
        <f t="shared" si="2"/>
        <v>230100</v>
      </c>
      <c r="N175" s="19" t="s">
        <v>29</v>
      </c>
    </row>
    <row r="176" spans="1:14">
      <c r="A176" s="17" t="s">
        <v>54</v>
      </c>
      <c r="B176" s="18">
        <v>2381</v>
      </c>
      <c r="C176" s="19" t="s">
        <v>115</v>
      </c>
      <c r="D176" s="18">
        <v>10231</v>
      </c>
      <c r="E176" s="19" t="s">
        <v>381</v>
      </c>
      <c r="F176" s="19" t="s">
        <v>669</v>
      </c>
      <c r="G176" s="5"/>
      <c r="H176" s="19" t="s">
        <v>756</v>
      </c>
      <c r="I176" s="19" t="s">
        <v>767</v>
      </c>
      <c r="J176" s="19" t="s">
        <v>770</v>
      </c>
      <c r="K176" s="18">
        <v>38000</v>
      </c>
      <c r="L176" s="20" t="s">
        <v>943</v>
      </c>
      <c r="M176" s="9">
        <f t="shared" si="2"/>
        <v>44840</v>
      </c>
      <c r="N176" s="19" t="s">
        <v>29</v>
      </c>
    </row>
    <row r="177" spans="1:14">
      <c r="A177" s="17" t="s">
        <v>54</v>
      </c>
      <c r="B177" s="18">
        <v>2381</v>
      </c>
      <c r="C177" s="19" t="s">
        <v>115</v>
      </c>
      <c r="D177" s="18">
        <v>10464</v>
      </c>
      <c r="E177" s="19" t="s">
        <v>382</v>
      </c>
      <c r="F177" s="19" t="s">
        <v>670</v>
      </c>
      <c r="G177" s="5"/>
      <c r="H177" s="19" t="s">
        <v>759</v>
      </c>
      <c r="I177" s="19" t="s">
        <v>34</v>
      </c>
      <c r="J177" s="19" t="s">
        <v>770</v>
      </c>
      <c r="K177" s="18">
        <v>62100</v>
      </c>
      <c r="L177" s="20" t="s">
        <v>944</v>
      </c>
      <c r="M177" s="9">
        <f t="shared" si="2"/>
        <v>73278</v>
      </c>
      <c r="N177" s="19" t="s">
        <v>29</v>
      </c>
    </row>
    <row r="178" spans="1:14">
      <c r="A178" s="17" t="s">
        <v>54</v>
      </c>
      <c r="B178" s="18">
        <v>2381</v>
      </c>
      <c r="C178" s="19" t="s">
        <v>115</v>
      </c>
      <c r="D178" s="18">
        <v>10572</v>
      </c>
      <c r="E178" s="19" t="s">
        <v>365</v>
      </c>
      <c r="F178" s="19" t="s">
        <v>568</v>
      </c>
      <c r="G178" s="5"/>
      <c r="H178" s="19" t="s">
        <v>759</v>
      </c>
      <c r="I178" s="19" t="s">
        <v>34</v>
      </c>
      <c r="J178" s="19" t="s">
        <v>770</v>
      </c>
      <c r="K178" s="18">
        <v>13790</v>
      </c>
      <c r="L178" s="20" t="s">
        <v>945</v>
      </c>
      <c r="M178" s="9">
        <f t="shared" si="2"/>
        <v>16272.2</v>
      </c>
      <c r="N178" s="19" t="s">
        <v>29</v>
      </c>
    </row>
    <row r="179" spans="1:14">
      <c r="A179" s="17" t="s">
        <v>54</v>
      </c>
      <c r="B179" s="18">
        <v>2381</v>
      </c>
      <c r="C179" s="19" t="s">
        <v>115</v>
      </c>
      <c r="D179" s="18">
        <v>10576</v>
      </c>
      <c r="E179" s="19" t="s">
        <v>383</v>
      </c>
      <c r="F179" s="19" t="s">
        <v>671</v>
      </c>
      <c r="G179" s="5"/>
      <c r="H179" s="19" t="s">
        <v>762</v>
      </c>
      <c r="I179" s="19" t="s">
        <v>34</v>
      </c>
      <c r="J179" s="19" t="s">
        <v>770</v>
      </c>
      <c r="K179" s="18">
        <v>62475</v>
      </c>
      <c r="L179" s="20" t="s">
        <v>946</v>
      </c>
      <c r="M179" s="9">
        <f t="shared" si="2"/>
        <v>69972</v>
      </c>
      <c r="N179" s="19" t="s">
        <v>29</v>
      </c>
    </row>
    <row r="180" spans="1:14">
      <c r="A180" s="17" t="s">
        <v>54</v>
      </c>
      <c r="B180" s="18">
        <v>25037</v>
      </c>
      <c r="C180" s="19" t="s">
        <v>116</v>
      </c>
      <c r="D180" s="18">
        <v>10292</v>
      </c>
      <c r="E180" s="19" t="s">
        <v>384</v>
      </c>
      <c r="F180" s="19" t="s">
        <v>626</v>
      </c>
      <c r="G180" s="5"/>
      <c r="H180" s="19" t="s">
        <v>757</v>
      </c>
      <c r="I180" s="19" t="s">
        <v>767</v>
      </c>
      <c r="J180" s="19" t="s">
        <v>770</v>
      </c>
      <c r="K180" s="18">
        <v>238823</v>
      </c>
      <c r="L180" s="20" t="s">
        <v>947</v>
      </c>
      <c r="M180" s="9">
        <f t="shared" si="2"/>
        <v>281811.14</v>
      </c>
      <c r="N180" s="19" t="s">
        <v>41</v>
      </c>
    </row>
    <row r="181" spans="1:14">
      <c r="A181" s="17" t="s">
        <v>54</v>
      </c>
      <c r="B181" s="18">
        <v>26186</v>
      </c>
      <c r="C181" s="19" t="s">
        <v>117</v>
      </c>
      <c r="D181" s="18">
        <v>10535</v>
      </c>
      <c r="E181" s="19" t="s">
        <v>300</v>
      </c>
      <c r="F181" s="19" t="s">
        <v>609</v>
      </c>
      <c r="G181" s="5"/>
      <c r="H181" s="19" t="s">
        <v>756</v>
      </c>
      <c r="I181" s="19" t="s">
        <v>767</v>
      </c>
      <c r="J181" s="19" t="s">
        <v>770</v>
      </c>
      <c r="K181" s="18">
        <v>164660</v>
      </c>
      <c r="L181" s="20" t="s">
        <v>948</v>
      </c>
      <c r="M181" s="9">
        <f t="shared" si="2"/>
        <v>194298.8</v>
      </c>
      <c r="N181" s="19" t="s">
        <v>29</v>
      </c>
    </row>
    <row r="182" spans="1:14">
      <c r="A182" s="17" t="s">
        <v>54</v>
      </c>
      <c r="B182" s="18">
        <v>26186</v>
      </c>
      <c r="C182" s="19" t="s">
        <v>117</v>
      </c>
      <c r="D182" s="18">
        <v>10419</v>
      </c>
      <c r="E182" s="19" t="s">
        <v>307</v>
      </c>
      <c r="F182" s="19" t="s">
        <v>537</v>
      </c>
      <c r="G182" s="5"/>
      <c r="H182" s="19" t="s">
        <v>756</v>
      </c>
      <c r="I182" s="19" t="s">
        <v>767</v>
      </c>
      <c r="J182" s="19" t="s">
        <v>770</v>
      </c>
      <c r="K182" s="18">
        <v>8316</v>
      </c>
      <c r="L182" s="20" t="s">
        <v>949</v>
      </c>
      <c r="M182" s="9">
        <f t="shared" si="2"/>
        <v>9812.880000000001</v>
      </c>
      <c r="N182" s="19" t="s">
        <v>29</v>
      </c>
    </row>
    <row r="183" spans="1:14">
      <c r="A183" s="17" t="s">
        <v>54</v>
      </c>
      <c r="B183" s="18">
        <v>26186</v>
      </c>
      <c r="C183" s="19" t="s">
        <v>117</v>
      </c>
      <c r="D183" s="18">
        <v>10525</v>
      </c>
      <c r="E183" s="19" t="s">
        <v>385</v>
      </c>
      <c r="F183" s="19" t="s">
        <v>672</v>
      </c>
      <c r="G183" s="5"/>
      <c r="H183" s="19" t="s">
        <v>756</v>
      </c>
      <c r="I183" s="19" t="s">
        <v>767</v>
      </c>
      <c r="J183" s="19" t="s">
        <v>770</v>
      </c>
      <c r="K183" s="18">
        <v>429300</v>
      </c>
      <c r="L183" s="20" t="s">
        <v>950</v>
      </c>
      <c r="M183" s="9">
        <f t="shared" si="2"/>
        <v>506574</v>
      </c>
      <c r="N183" s="19" t="s">
        <v>29</v>
      </c>
    </row>
    <row r="184" spans="1:14">
      <c r="A184" s="17" t="s">
        <v>54</v>
      </c>
      <c r="B184" s="18">
        <v>26186</v>
      </c>
      <c r="C184" s="19" t="s">
        <v>117</v>
      </c>
      <c r="D184" s="18">
        <v>10375</v>
      </c>
      <c r="E184" s="19" t="s">
        <v>386</v>
      </c>
      <c r="F184" s="19" t="s">
        <v>637</v>
      </c>
      <c r="G184" s="5"/>
      <c r="H184" s="19" t="s">
        <v>759</v>
      </c>
      <c r="I184" s="19" t="s">
        <v>34</v>
      </c>
      <c r="J184" s="19" t="s">
        <v>770</v>
      </c>
      <c r="K184" s="18">
        <v>170981.4</v>
      </c>
      <c r="L184" s="20" t="s">
        <v>951</v>
      </c>
      <c r="M184" s="9">
        <f t="shared" si="2"/>
        <v>201758.06</v>
      </c>
      <c r="N184" s="19" t="s">
        <v>29</v>
      </c>
    </row>
    <row r="185" spans="1:14">
      <c r="A185" s="17" t="s">
        <v>54</v>
      </c>
      <c r="B185" s="18">
        <v>26186</v>
      </c>
      <c r="C185" s="19" t="s">
        <v>117</v>
      </c>
      <c r="D185" s="18">
        <v>10636</v>
      </c>
      <c r="E185" s="19" t="s">
        <v>387</v>
      </c>
      <c r="F185" s="19" t="s">
        <v>673</v>
      </c>
      <c r="G185" s="5"/>
      <c r="H185" s="19" t="s">
        <v>756</v>
      </c>
      <c r="I185" s="19" t="s">
        <v>767</v>
      </c>
      <c r="J185" s="19" t="s">
        <v>770</v>
      </c>
      <c r="K185" s="18">
        <v>23833.8</v>
      </c>
      <c r="L185" s="20" t="s">
        <v>952</v>
      </c>
      <c r="M185" s="9">
        <f t="shared" si="2"/>
        <v>28123.879999999997</v>
      </c>
      <c r="N185" s="19" t="s">
        <v>29</v>
      </c>
    </row>
    <row r="186" spans="1:14">
      <c r="A186" s="17" t="s">
        <v>54</v>
      </c>
      <c r="B186" s="18">
        <v>26186</v>
      </c>
      <c r="C186" s="19" t="s">
        <v>117</v>
      </c>
      <c r="D186" s="18">
        <v>10556</v>
      </c>
      <c r="E186" s="19" t="s">
        <v>388</v>
      </c>
      <c r="F186" s="19" t="s">
        <v>601</v>
      </c>
      <c r="G186" s="5"/>
      <c r="H186" s="19" t="s">
        <v>756</v>
      </c>
      <c r="I186" s="19" t="s">
        <v>767</v>
      </c>
      <c r="J186" s="19" t="s">
        <v>770</v>
      </c>
      <c r="K186" s="18">
        <v>249000</v>
      </c>
      <c r="L186" s="20" t="s">
        <v>953</v>
      </c>
      <c r="M186" s="9">
        <f t="shared" si="2"/>
        <v>293820</v>
      </c>
      <c r="N186" s="19" t="s">
        <v>29</v>
      </c>
    </row>
    <row r="187" spans="1:14">
      <c r="A187" s="17" t="s">
        <v>54</v>
      </c>
      <c r="B187" s="18">
        <v>26186</v>
      </c>
      <c r="C187" s="19" t="s">
        <v>117</v>
      </c>
      <c r="D187" s="18">
        <v>10570</v>
      </c>
      <c r="E187" s="19" t="s">
        <v>389</v>
      </c>
      <c r="F187" s="19" t="s">
        <v>648</v>
      </c>
      <c r="G187" s="5"/>
      <c r="H187" s="19" t="s">
        <v>763</v>
      </c>
      <c r="I187" s="19" t="s">
        <v>34</v>
      </c>
      <c r="J187" s="19" t="s">
        <v>770</v>
      </c>
      <c r="K187" s="18">
        <v>150160</v>
      </c>
      <c r="L187" s="20" t="s">
        <v>954</v>
      </c>
      <c r="M187" s="9">
        <f t="shared" si="2"/>
        <v>177188.8</v>
      </c>
      <c r="N187" s="19" t="s">
        <v>29</v>
      </c>
    </row>
    <row r="188" spans="1:14">
      <c r="A188" s="17" t="s">
        <v>54</v>
      </c>
      <c r="B188" s="18">
        <v>26186</v>
      </c>
      <c r="C188" s="19" t="s">
        <v>117</v>
      </c>
      <c r="D188" s="18">
        <v>10494</v>
      </c>
      <c r="E188" s="19" t="s">
        <v>321</v>
      </c>
      <c r="F188" s="19" t="s">
        <v>624</v>
      </c>
      <c r="G188" s="5"/>
      <c r="H188" s="19" t="s">
        <v>756</v>
      </c>
      <c r="I188" s="19" t="s">
        <v>767</v>
      </c>
      <c r="J188" s="19" t="s">
        <v>770</v>
      </c>
      <c r="K188" s="18">
        <v>18072</v>
      </c>
      <c r="L188" s="20" t="s">
        <v>955</v>
      </c>
      <c r="M188" s="9">
        <f t="shared" si="2"/>
        <v>21324.959999999999</v>
      </c>
      <c r="N188" s="19" t="s">
        <v>29</v>
      </c>
    </row>
    <row r="189" spans="1:14">
      <c r="A189" s="17" t="s">
        <v>54</v>
      </c>
      <c r="B189" s="18">
        <v>26186</v>
      </c>
      <c r="C189" s="19" t="s">
        <v>117</v>
      </c>
      <c r="D189" s="18">
        <v>10457</v>
      </c>
      <c r="E189" s="19" t="s">
        <v>390</v>
      </c>
      <c r="F189" s="19" t="s">
        <v>674</v>
      </c>
      <c r="G189" s="5"/>
      <c r="H189" s="19" t="s">
        <v>756</v>
      </c>
      <c r="I189" s="19" t="s">
        <v>767</v>
      </c>
      <c r="J189" s="19" t="s">
        <v>770</v>
      </c>
      <c r="K189" s="18">
        <v>189980</v>
      </c>
      <c r="L189" s="20" t="s">
        <v>956</v>
      </c>
      <c r="M189" s="9">
        <f t="shared" si="2"/>
        <v>224176.4</v>
      </c>
      <c r="N189" s="19" t="s">
        <v>29</v>
      </c>
    </row>
    <row r="190" spans="1:14">
      <c r="A190" s="17" t="s">
        <v>54</v>
      </c>
      <c r="B190" s="18">
        <v>26186</v>
      </c>
      <c r="C190" s="19" t="s">
        <v>117</v>
      </c>
      <c r="D190" s="18">
        <v>10412</v>
      </c>
      <c r="E190" s="19" t="s">
        <v>308</v>
      </c>
      <c r="F190" s="19" t="s">
        <v>675</v>
      </c>
      <c r="G190" s="5"/>
      <c r="H190" s="19" t="s">
        <v>756</v>
      </c>
      <c r="I190" s="19" t="s">
        <v>767</v>
      </c>
      <c r="J190" s="19" t="s">
        <v>770</v>
      </c>
      <c r="K190" s="18">
        <v>58928</v>
      </c>
      <c r="L190" s="20" t="s">
        <v>957</v>
      </c>
      <c r="M190" s="9">
        <f t="shared" si="2"/>
        <v>69535.040000000008</v>
      </c>
      <c r="N190" s="19" t="s">
        <v>29</v>
      </c>
    </row>
    <row r="191" spans="1:14">
      <c r="A191" s="17" t="s">
        <v>54</v>
      </c>
      <c r="B191" s="18">
        <v>2092</v>
      </c>
      <c r="C191" s="19" t="s">
        <v>118</v>
      </c>
      <c r="D191" s="18">
        <v>10533</v>
      </c>
      <c r="E191" s="19" t="s">
        <v>391</v>
      </c>
      <c r="F191" s="19" t="s">
        <v>676</v>
      </c>
      <c r="G191" s="5"/>
      <c r="H191" s="19" t="s">
        <v>33</v>
      </c>
      <c r="I191" s="19" t="s">
        <v>34</v>
      </c>
      <c r="J191" s="19" t="s">
        <v>770</v>
      </c>
      <c r="K191" s="18">
        <v>462773</v>
      </c>
      <c r="L191" s="20" t="s">
        <v>958</v>
      </c>
      <c r="M191" s="9">
        <f t="shared" si="2"/>
        <v>546072.14</v>
      </c>
      <c r="N191" s="19" t="s">
        <v>28</v>
      </c>
    </row>
    <row r="192" spans="1:14">
      <c r="A192" s="17" t="s">
        <v>54</v>
      </c>
      <c r="B192" s="18">
        <v>24505</v>
      </c>
      <c r="C192" s="19" t="s">
        <v>119</v>
      </c>
      <c r="D192" s="18">
        <v>10438</v>
      </c>
      <c r="E192" s="19" t="s">
        <v>392</v>
      </c>
      <c r="F192" s="19" t="s">
        <v>534</v>
      </c>
      <c r="G192" s="5"/>
      <c r="H192" s="19" t="s">
        <v>762</v>
      </c>
      <c r="I192" s="19" t="s">
        <v>34</v>
      </c>
      <c r="J192" s="19" t="s">
        <v>770</v>
      </c>
      <c r="K192" s="18">
        <v>134100</v>
      </c>
      <c r="L192" s="20" t="s">
        <v>959</v>
      </c>
      <c r="M192" s="9">
        <f t="shared" si="2"/>
        <v>158238</v>
      </c>
      <c r="N192" s="19" t="s">
        <v>29</v>
      </c>
    </row>
    <row r="193" spans="1:14">
      <c r="A193" s="17" t="s">
        <v>54</v>
      </c>
      <c r="B193" s="18">
        <v>2806</v>
      </c>
      <c r="C193" s="19" t="s">
        <v>120</v>
      </c>
      <c r="D193" s="18">
        <v>10479</v>
      </c>
      <c r="E193" s="19" t="s">
        <v>393</v>
      </c>
      <c r="F193" s="19" t="s">
        <v>538</v>
      </c>
      <c r="G193" s="5"/>
      <c r="H193" s="19" t="s">
        <v>763</v>
      </c>
      <c r="I193" s="19" t="s">
        <v>34</v>
      </c>
      <c r="J193" s="19" t="s">
        <v>770</v>
      </c>
      <c r="K193" s="18">
        <v>38160</v>
      </c>
      <c r="L193" s="20" t="s">
        <v>960</v>
      </c>
      <c r="M193" s="9">
        <f t="shared" si="2"/>
        <v>45028.800000000003</v>
      </c>
      <c r="N193" s="19" t="s">
        <v>29</v>
      </c>
    </row>
    <row r="194" spans="1:14">
      <c r="A194" s="17" t="s">
        <v>54</v>
      </c>
      <c r="B194" s="18">
        <v>2806</v>
      </c>
      <c r="C194" s="19" t="s">
        <v>120</v>
      </c>
      <c r="D194" s="18">
        <v>10423</v>
      </c>
      <c r="E194" s="19" t="s">
        <v>394</v>
      </c>
      <c r="F194" s="19" t="s">
        <v>646</v>
      </c>
      <c r="G194" s="5"/>
      <c r="H194" s="19" t="s">
        <v>757</v>
      </c>
      <c r="I194" s="19" t="s">
        <v>767</v>
      </c>
      <c r="J194" s="19" t="s">
        <v>770</v>
      </c>
      <c r="K194" s="18">
        <v>1020000</v>
      </c>
      <c r="L194" s="20" t="s">
        <v>961</v>
      </c>
      <c r="M194" s="9">
        <f t="shared" ref="M194:M257" si="3">+K194+L194</f>
        <v>1203600</v>
      </c>
      <c r="N194" s="19" t="s">
        <v>29</v>
      </c>
    </row>
    <row r="195" spans="1:14">
      <c r="A195" s="17" t="s">
        <v>54</v>
      </c>
      <c r="B195" s="18">
        <v>2806</v>
      </c>
      <c r="C195" s="19" t="s">
        <v>120</v>
      </c>
      <c r="D195" s="18">
        <v>10524</v>
      </c>
      <c r="E195" s="19" t="s">
        <v>385</v>
      </c>
      <c r="F195" s="19" t="s">
        <v>672</v>
      </c>
      <c r="G195" s="5"/>
      <c r="H195" s="19" t="s">
        <v>756</v>
      </c>
      <c r="I195" s="19" t="s">
        <v>767</v>
      </c>
      <c r="J195" s="19" t="s">
        <v>770</v>
      </c>
      <c r="K195" s="18">
        <v>179952</v>
      </c>
      <c r="L195" s="20" t="s">
        <v>962</v>
      </c>
      <c r="M195" s="9">
        <f t="shared" si="3"/>
        <v>212343.36</v>
      </c>
      <c r="N195" s="19" t="s">
        <v>29</v>
      </c>
    </row>
    <row r="196" spans="1:14">
      <c r="A196" s="17" t="s">
        <v>54</v>
      </c>
      <c r="B196" s="18">
        <v>2806</v>
      </c>
      <c r="C196" s="19" t="s">
        <v>120</v>
      </c>
      <c r="D196" s="18">
        <v>10338</v>
      </c>
      <c r="E196" s="19" t="s">
        <v>395</v>
      </c>
      <c r="F196" s="19" t="s">
        <v>677</v>
      </c>
      <c r="G196" s="5"/>
      <c r="H196" s="19" t="s">
        <v>759</v>
      </c>
      <c r="I196" s="19" t="s">
        <v>34</v>
      </c>
      <c r="J196" s="19" t="s">
        <v>770</v>
      </c>
      <c r="K196" s="18">
        <v>72980</v>
      </c>
      <c r="L196" s="20" t="s">
        <v>963</v>
      </c>
      <c r="M196" s="9">
        <f t="shared" si="3"/>
        <v>86116.4</v>
      </c>
      <c r="N196" s="19" t="s">
        <v>29</v>
      </c>
    </row>
    <row r="197" spans="1:14">
      <c r="A197" s="17" t="s">
        <v>54</v>
      </c>
      <c r="B197" s="18">
        <v>2806</v>
      </c>
      <c r="C197" s="19" t="s">
        <v>120</v>
      </c>
      <c r="D197" s="18">
        <v>10469</v>
      </c>
      <c r="E197" s="19" t="s">
        <v>396</v>
      </c>
      <c r="F197" s="19" t="s">
        <v>670</v>
      </c>
      <c r="G197" s="5"/>
      <c r="H197" s="19" t="s">
        <v>757</v>
      </c>
      <c r="I197" s="19" t="s">
        <v>767</v>
      </c>
      <c r="J197" s="19" t="s">
        <v>770</v>
      </c>
      <c r="K197" s="18">
        <v>264000</v>
      </c>
      <c r="L197" s="20" t="s">
        <v>964</v>
      </c>
      <c r="M197" s="9">
        <f t="shared" si="3"/>
        <v>311520</v>
      </c>
      <c r="N197" s="19" t="s">
        <v>29</v>
      </c>
    </row>
    <row r="198" spans="1:14">
      <c r="A198" s="17" t="s">
        <v>54</v>
      </c>
      <c r="B198" s="18">
        <v>2806</v>
      </c>
      <c r="C198" s="19" t="s">
        <v>120</v>
      </c>
      <c r="D198" s="18">
        <v>10391</v>
      </c>
      <c r="E198" s="19" t="s">
        <v>397</v>
      </c>
      <c r="F198" s="19" t="s">
        <v>678</v>
      </c>
      <c r="G198" s="5"/>
      <c r="H198" s="19" t="s">
        <v>757</v>
      </c>
      <c r="I198" s="19" t="s">
        <v>767</v>
      </c>
      <c r="J198" s="19" t="s">
        <v>770</v>
      </c>
      <c r="K198" s="18">
        <v>354375</v>
      </c>
      <c r="L198" s="20" t="s">
        <v>965</v>
      </c>
      <c r="M198" s="9">
        <f t="shared" si="3"/>
        <v>418162.5</v>
      </c>
      <c r="N198" s="19" t="s">
        <v>29</v>
      </c>
    </row>
    <row r="199" spans="1:14">
      <c r="A199" s="17" t="s">
        <v>54</v>
      </c>
      <c r="B199" s="18">
        <v>2806</v>
      </c>
      <c r="C199" s="19" t="s">
        <v>120</v>
      </c>
      <c r="D199" s="18">
        <v>10493</v>
      </c>
      <c r="E199" s="19" t="s">
        <v>321</v>
      </c>
      <c r="F199" s="19" t="s">
        <v>624</v>
      </c>
      <c r="G199" s="5"/>
      <c r="H199" s="19" t="s">
        <v>756</v>
      </c>
      <c r="I199" s="19" t="s">
        <v>767</v>
      </c>
      <c r="J199" s="19" t="s">
        <v>770</v>
      </c>
      <c r="K199" s="18">
        <v>36734</v>
      </c>
      <c r="L199" s="20" t="s">
        <v>966</v>
      </c>
      <c r="M199" s="9">
        <f t="shared" si="3"/>
        <v>43346.12</v>
      </c>
      <c r="N199" s="19" t="s">
        <v>29</v>
      </c>
    </row>
    <row r="200" spans="1:14">
      <c r="A200" s="17" t="s">
        <v>54</v>
      </c>
      <c r="B200" s="18">
        <v>77</v>
      </c>
      <c r="C200" s="19" t="s">
        <v>84</v>
      </c>
      <c r="D200" s="18">
        <v>10103</v>
      </c>
      <c r="E200" s="19" t="s">
        <v>398</v>
      </c>
      <c r="F200" s="19" t="s">
        <v>679</v>
      </c>
      <c r="G200" s="5"/>
      <c r="H200" s="19" t="s">
        <v>755</v>
      </c>
      <c r="I200" s="19" t="s">
        <v>34</v>
      </c>
      <c r="J200" s="19" t="s">
        <v>770</v>
      </c>
      <c r="K200" s="18">
        <v>64795</v>
      </c>
      <c r="L200" s="20" t="s">
        <v>967</v>
      </c>
      <c r="M200" s="9">
        <f t="shared" si="3"/>
        <v>76458.100000000006</v>
      </c>
      <c r="N200" s="19" t="s">
        <v>28</v>
      </c>
    </row>
    <row r="201" spans="1:14">
      <c r="A201" s="17" t="s">
        <v>54</v>
      </c>
      <c r="B201" s="18">
        <v>77</v>
      </c>
      <c r="C201" s="19" t="s">
        <v>84</v>
      </c>
      <c r="D201" s="18">
        <v>10364</v>
      </c>
      <c r="E201" s="19" t="s">
        <v>399</v>
      </c>
      <c r="F201" s="19" t="s">
        <v>680</v>
      </c>
      <c r="G201" s="5"/>
      <c r="H201" s="19" t="s">
        <v>755</v>
      </c>
      <c r="I201" s="19" t="s">
        <v>34</v>
      </c>
      <c r="J201" s="19" t="s">
        <v>770</v>
      </c>
      <c r="K201" s="18">
        <v>2326410</v>
      </c>
      <c r="L201" s="20" t="s">
        <v>968</v>
      </c>
      <c r="M201" s="9">
        <f t="shared" si="3"/>
        <v>2745163.8</v>
      </c>
      <c r="N201" s="19" t="s">
        <v>28</v>
      </c>
    </row>
    <row r="202" spans="1:14">
      <c r="A202" s="17" t="s">
        <v>54</v>
      </c>
      <c r="B202" s="18">
        <v>77</v>
      </c>
      <c r="C202" s="19" t="s">
        <v>84</v>
      </c>
      <c r="D202" s="18">
        <v>10360</v>
      </c>
      <c r="E202" s="19" t="s">
        <v>400</v>
      </c>
      <c r="F202" s="19" t="s">
        <v>552</v>
      </c>
      <c r="G202" s="5"/>
      <c r="H202" s="19" t="s">
        <v>33</v>
      </c>
      <c r="I202" s="19" t="s">
        <v>34</v>
      </c>
      <c r="J202" s="19" t="s">
        <v>770</v>
      </c>
      <c r="K202" s="18">
        <v>5856032.2640000004</v>
      </c>
      <c r="L202" s="20" t="s">
        <v>969</v>
      </c>
      <c r="M202" s="9">
        <f t="shared" si="3"/>
        <v>6910118.0840000007</v>
      </c>
      <c r="N202" s="19" t="s">
        <v>28</v>
      </c>
    </row>
    <row r="203" spans="1:14">
      <c r="A203" s="17" t="s">
        <v>54</v>
      </c>
      <c r="B203" s="18">
        <v>77</v>
      </c>
      <c r="C203" s="19" t="s">
        <v>84</v>
      </c>
      <c r="D203" s="18">
        <v>10089</v>
      </c>
      <c r="E203" s="19" t="s">
        <v>401</v>
      </c>
      <c r="F203" s="19" t="s">
        <v>681</v>
      </c>
      <c r="G203" s="5"/>
      <c r="H203" s="19" t="s">
        <v>755</v>
      </c>
      <c r="I203" s="19" t="s">
        <v>34</v>
      </c>
      <c r="J203" s="19" t="s">
        <v>770</v>
      </c>
      <c r="K203" s="18">
        <v>4457575.5</v>
      </c>
      <c r="L203" s="20" t="s">
        <v>970</v>
      </c>
      <c r="M203" s="9">
        <f t="shared" si="3"/>
        <v>5259939.0999999996</v>
      </c>
      <c r="N203" s="19" t="s">
        <v>28</v>
      </c>
    </row>
    <row r="204" spans="1:14">
      <c r="A204" s="17" t="s">
        <v>54</v>
      </c>
      <c r="B204" s="18">
        <v>77</v>
      </c>
      <c r="C204" s="19" t="s">
        <v>84</v>
      </c>
      <c r="D204" s="18">
        <v>10592</v>
      </c>
      <c r="E204" s="19" t="s">
        <v>402</v>
      </c>
      <c r="F204" s="19" t="s">
        <v>612</v>
      </c>
      <c r="G204" s="5"/>
      <c r="H204" s="19" t="s">
        <v>755</v>
      </c>
      <c r="I204" s="19" t="s">
        <v>34</v>
      </c>
      <c r="J204" s="19" t="s">
        <v>770</v>
      </c>
      <c r="K204" s="18">
        <v>499560</v>
      </c>
      <c r="L204" s="20" t="s">
        <v>971</v>
      </c>
      <c r="M204" s="9">
        <f t="shared" si="3"/>
        <v>589480.80000000005</v>
      </c>
      <c r="N204" s="19" t="s">
        <v>28</v>
      </c>
    </row>
    <row r="205" spans="1:14">
      <c r="A205" s="17" t="s">
        <v>54</v>
      </c>
      <c r="B205" s="18">
        <v>77</v>
      </c>
      <c r="C205" s="19" t="s">
        <v>84</v>
      </c>
      <c r="D205" s="18">
        <v>9561</v>
      </c>
      <c r="E205" s="19" t="s">
        <v>403</v>
      </c>
      <c r="F205" s="19" t="s">
        <v>682</v>
      </c>
      <c r="G205" s="5"/>
      <c r="H205" s="19" t="s">
        <v>751</v>
      </c>
      <c r="I205" s="19" t="s">
        <v>765</v>
      </c>
      <c r="J205" s="19" t="s">
        <v>770</v>
      </c>
      <c r="K205" s="18">
        <v>1041671</v>
      </c>
      <c r="L205" s="20" t="s">
        <v>972</v>
      </c>
      <c r="M205" s="9">
        <f t="shared" si="3"/>
        <v>1229171.78</v>
      </c>
      <c r="N205" s="19" t="s">
        <v>28</v>
      </c>
    </row>
    <row r="206" spans="1:14">
      <c r="A206" s="17" t="s">
        <v>54</v>
      </c>
      <c r="B206" s="18">
        <v>1921</v>
      </c>
      <c r="C206" s="19" t="s">
        <v>121</v>
      </c>
      <c r="D206" s="18">
        <v>10354</v>
      </c>
      <c r="E206" s="19" t="s">
        <v>404</v>
      </c>
      <c r="F206" s="19" t="s">
        <v>683</v>
      </c>
      <c r="G206" s="5"/>
      <c r="H206" s="19" t="s">
        <v>757</v>
      </c>
      <c r="I206" s="19" t="s">
        <v>767</v>
      </c>
      <c r="J206" s="19" t="s">
        <v>770</v>
      </c>
      <c r="K206" s="18">
        <v>418800</v>
      </c>
      <c r="L206" s="20" t="s">
        <v>973</v>
      </c>
      <c r="M206" s="9">
        <f t="shared" si="3"/>
        <v>509009.52</v>
      </c>
      <c r="N206" s="19" t="s">
        <v>41</v>
      </c>
    </row>
    <row r="207" spans="1:14">
      <c r="A207" s="17" t="s">
        <v>54</v>
      </c>
      <c r="B207" s="18">
        <v>5788</v>
      </c>
      <c r="C207" s="19" t="s">
        <v>122</v>
      </c>
      <c r="D207" s="18">
        <v>10472</v>
      </c>
      <c r="E207" s="19" t="s">
        <v>405</v>
      </c>
      <c r="F207" s="19" t="s">
        <v>670</v>
      </c>
      <c r="G207" s="5"/>
      <c r="H207" s="19" t="s">
        <v>759</v>
      </c>
      <c r="I207" s="19" t="s">
        <v>34</v>
      </c>
      <c r="J207" s="19" t="s">
        <v>770</v>
      </c>
      <c r="K207" s="18">
        <v>3562704</v>
      </c>
      <c r="L207" s="20" t="s">
        <v>974</v>
      </c>
      <c r="M207" s="9">
        <f t="shared" si="3"/>
        <v>4203990.72</v>
      </c>
      <c r="N207" s="19" t="s">
        <v>29</v>
      </c>
    </row>
    <row r="208" spans="1:14">
      <c r="A208" s="17" t="s">
        <v>54</v>
      </c>
      <c r="B208" s="18">
        <v>263</v>
      </c>
      <c r="C208" s="19" t="s">
        <v>123</v>
      </c>
      <c r="D208" s="18">
        <v>10593</v>
      </c>
      <c r="E208" s="19" t="s">
        <v>406</v>
      </c>
      <c r="F208" s="19" t="s">
        <v>684</v>
      </c>
      <c r="G208" s="5"/>
      <c r="H208" s="19" t="s">
        <v>757</v>
      </c>
      <c r="I208" s="19" t="s">
        <v>767</v>
      </c>
      <c r="J208" s="19" t="s">
        <v>770</v>
      </c>
      <c r="K208" s="18">
        <v>1123623</v>
      </c>
      <c r="L208" s="20" t="s">
        <v>975</v>
      </c>
      <c r="M208" s="9">
        <f t="shared" si="3"/>
        <v>1365651.3900000001</v>
      </c>
      <c r="N208" s="19" t="s">
        <v>29</v>
      </c>
    </row>
    <row r="209" spans="1:14">
      <c r="A209" s="17" t="s">
        <v>54</v>
      </c>
      <c r="B209" s="18">
        <v>263</v>
      </c>
      <c r="C209" s="19" t="s">
        <v>123</v>
      </c>
      <c r="D209" s="18">
        <v>10084</v>
      </c>
      <c r="E209" s="19" t="s">
        <v>292</v>
      </c>
      <c r="F209" s="19" t="s">
        <v>685</v>
      </c>
      <c r="G209" s="5"/>
      <c r="H209" s="19" t="s">
        <v>756</v>
      </c>
      <c r="I209" s="19" t="s">
        <v>767</v>
      </c>
      <c r="J209" s="19" t="s">
        <v>770</v>
      </c>
      <c r="K209" s="18">
        <v>989640</v>
      </c>
      <c r="L209" s="20" t="s">
        <v>976</v>
      </c>
      <c r="M209" s="9">
        <f t="shared" si="3"/>
        <v>1167775.2</v>
      </c>
      <c r="N209" s="19" t="s">
        <v>29</v>
      </c>
    </row>
    <row r="210" spans="1:14">
      <c r="A210" s="17" t="s">
        <v>54</v>
      </c>
      <c r="B210" s="18">
        <v>263</v>
      </c>
      <c r="C210" s="19" t="s">
        <v>123</v>
      </c>
      <c r="D210" s="18">
        <v>10520</v>
      </c>
      <c r="E210" s="19" t="s">
        <v>407</v>
      </c>
      <c r="F210" s="19" t="s">
        <v>636</v>
      </c>
      <c r="G210" s="5"/>
      <c r="H210" s="19" t="s">
        <v>757</v>
      </c>
      <c r="I210" s="19" t="s">
        <v>767</v>
      </c>
      <c r="J210" s="19" t="s">
        <v>770</v>
      </c>
      <c r="K210" s="18">
        <v>218160</v>
      </c>
      <c r="L210" s="20" t="s">
        <v>977</v>
      </c>
      <c r="M210" s="9">
        <f t="shared" si="3"/>
        <v>257428.8</v>
      </c>
      <c r="N210" s="19" t="s">
        <v>29</v>
      </c>
    </row>
    <row r="211" spans="1:14">
      <c r="A211" s="17" t="s">
        <v>54</v>
      </c>
      <c r="B211" s="18">
        <v>28378</v>
      </c>
      <c r="C211" s="19" t="s">
        <v>124</v>
      </c>
      <c r="D211" s="18">
        <v>10233</v>
      </c>
      <c r="E211" s="19" t="s">
        <v>408</v>
      </c>
      <c r="F211" s="19" t="s">
        <v>669</v>
      </c>
      <c r="G211" s="5"/>
      <c r="H211" s="19" t="s">
        <v>756</v>
      </c>
      <c r="I211" s="19" t="s">
        <v>767</v>
      </c>
      <c r="J211" s="19" t="s">
        <v>770</v>
      </c>
      <c r="K211" s="18">
        <v>1689930</v>
      </c>
      <c r="L211" s="20" t="s">
        <v>978</v>
      </c>
      <c r="M211" s="9">
        <f t="shared" si="3"/>
        <v>1994117.4</v>
      </c>
      <c r="N211" s="19" t="s">
        <v>29</v>
      </c>
    </row>
    <row r="212" spans="1:14">
      <c r="A212" s="17" t="s">
        <v>54</v>
      </c>
      <c r="B212" s="18">
        <v>28378</v>
      </c>
      <c r="C212" s="19" t="s">
        <v>124</v>
      </c>
      <c r="D212" s="18">
        <v>10222</v>
      </c>
      <c r="E212" s="19" t="s">
        <v>409</v>
      </c>
      <c r="F212" s="19" t="s">
        <v>686</v>
      </c>
      <c r="G212" s="5"/>
      <c r="H212" s="19" t="s">
        <v>752</v>
      </c>
      <c r="I212" s="19" t="s">
        <v>34</v>
      </c>
      <c r="J212" s="19" t="s">
        <v>770</v>
      </c>
      <c r="K212" s="18">
        <v>1042210.5</v>
      </c>
      <c r="L212" s="20" t="s">
        <v>979</v>
      </c>
      <c r="M212" s="9">
        <f t="shared" si="3"/>
        <v>1229808.3900000001</v>
      </c>
      <c r="N212" s="19" t="s">
        <v>28</v>
      </c>
    </row>
    <row r="213" spans="1:14">
      <c r="A213" s="17" t="s">
        <v>54</v>
      </c>
      <c r="B213" s="18">
        <v>29113</v>
      </c>
      <c r="C213" s="19" t="s">
        <v>125</v>
      </c>
      <c r="D213" s="18">
        <v>10483</v>
      </c>
      <c r="E213" s="19" t="s">
        <v>225</v>
      </c>
      <c r="F213" s="19" t="s">
        <v>538</v>
      </c>
      <c r="G213" s="5"/>
      <c r="H213" s="19" t="s">
        <v>753</v>
      </c>
      <c r="I213" s="19" t="s">
        <v>34</v>
      </c>
      <c r="J213" s="19" t="s">
        <v>770</v>
      </c>
      <c r="K213" s="18">
        <v>45600</v>
      </c>
      <c r="L213" s="20" t="s">
        <v>862</v>
      </c>
      <c r="M213" s="9">
        <f t="shared" si="3"/>
        <v>51072</v>
      </c>
      <c r="N213" s="19" t="s">
        <v>29</v>
      </c>
    </row>
    <row r="214" spans="1:14">
      <c r="A214" s="17" t="s">
        <v>54</v>
      </c>
      <c r="B214" s="18">
        <v>28911</v>
      </c>
      <c r="C214" s="19" t="s">
        <v>126</v>
      </c>
      <c r="D214" s="18">
        <v>10241</v>
      </c>
      <c r="E214" s="19" t="s">
        <v>410</v>
      </c>
      <c r="F214" s="19" t="s">
        <v>687</v>
      </c>
      <c r="G214" s="5"/>
      <c r="H214" s="19" t="s">
        <v>33</v>
      </c>
      <c r="I214" s="19" t="s">
        <v>34</v>
      </c>
      <c r="J214" s="19" t="s">
        <v>770</v>
      </c>
      <c r="K214" s="18">
        <v>295000</v>
      </c>
      <c r="L214" s="20" t="s">
        <v>980</v>
      </c>
      <c r="M214" s="9">
        <f t="shared" si="3"/>
        <v>348100</v>
      </c>
      <c r="N214" s="19" t="s">
        <v>28</v>
      </c>
    </row>
    <row r="215" spans="1:14">
      <c r="A215" s="17" t="s">
        <v>54</v>
      </c>
      <c r="B215" s="18">
        <v>28256</v>
      </c>
      <c r="C215" s="19" t="s">
        <v>127</v>
      </c>
      <c r="D215" s="18">
        <v>9582</v>
      </c>
      <c r="E215" s="19" t="s">
        <v>411</v>
      </c>
      <c r="F215" s="19" t="s">
        <v>688</v>
      </c>
      <c r="G215" s="5"/>
      <c r="H215" s="19" t="s">
        <v>751</v>
      </c>
      <c r="I215" s="19" t="s">
        <v>765</v>
      </c>
      <c r="J215" s="19" t="s">
        <v>770</v>
      </c>
      <c r="K215" s="18">
        <v>525146</v>
      </c>
      <c r="L215" s="20" t="s">
        <v>981</v>
      </c>
      <c r="M215" s="9">
        <f t="shared" si="3"/>
        <v>619672.28</v>
      </c>
      <c r="N215" s="19" t="s">
        <v>28</v>
      </c>
    </row>
    <row r="216" spans="1:14">
      <c r="A216" s="17" t="s">
        <v>54</v>
      </c>
      <c r="B216" s="18">
        <v>2799</v>
      </c>
      <c r="C216" s="19" t="s">
        <v>128</v>
      </c>
      <c r="D216" s="18">
        <v>10256</v>
      </c>
      <c r="E216" s="19" t="s">
        <v>412</v>
      </c>
      <c r="F216" s="19" t="s">
        <v>689</v>
      </c>
      <c r="G216" s="5"/>
      <c r="H216" s="19" t="s">
        <v>754</v>
      </c>
      <c r="I216" s="19" t="s">
        <v>34</v>
      </c>
      <c r="J216" s="19" t="s">
        <v>770</v>
      </c>
      <c r="K216" s="18">
        <v>3290000</v>
      </c>
      <c r="L216" s="20" t="s">
        <v>982</v>
      </c>
      <c r="M216" s="9">
        <f t="shared" si="3"/>
        <v>3882200</v>
      </c>
      <c r="N216" s="19" t="s">
        <v>29</v>
      </c>
    </row>
    <row r="217" spans="1:14">
      <c r="A217" s="17" t="s">
        <v>54</v>
      </c>
      <c r="B217" s="18">
        <v>2799</v>
      </c>
      <c r="C217" s="19" t="s">
        <v>128</v>
      </c>
      <c r="D217" s="18">
        <v>10208</v>
      </c>
      <c r="E217" s="19" t="s">
        <v>413</v>
      </c>
      <c r="F217" s="19" t="s">
        <v>690</v>
      </c>
      <c r="G217" s="5"/>
      <c r="H217" s="19" t="s">
        <v>753</v>
      </c>
      <c r="I217" s="19" t="s">
        <v>34</v>
      </c>
      <c r="J217" s="19" t="s">
        <v>770</v>
      </c>
      <c r="K217" s="18">
        <v>2980400</v>
      </c>
      <c r="L217" s="20" t="s">
        <v>983</v>
      </c>
      <c r="M217" s="9">
        <f t="shared" si="3"/>
        <v>3516872</v>
      </c>
      <c r="N217" s="19" t="s">
        <v>29</v>
      </c>
    </row>
    <row r="218" spans="1:14">
      <c r="A218" s="17" t="s">
        <v>54</v>
      </c>
      <c r="B218" s="18">
        <v>18577</v>
      </c>
      <c r="C218" s="19" t="s">
        <v>129</v>
      </c>
      <c r="D218" s="18">
        <v>10294</v>
      </c>
      <c r="E218" s="19" t="s">
        <v>414</v>
      </c>
      <c r="F218" s="19" t="s">
        <v>691</v>
      </c>
      <c r="G218" s="5"/>
      <c r="H218" s="19" t="s">
        <v>33</v>
      </c>
      <c r="I218" s="19" t="s">
        <v>34</v>
      </c>
      <c r="J218" s="19" t="s">
        <v>770</v>
      </c>
      <c r="K218" s="18">
        <v>21150</v>
      </c>
      <c r="L218" s="20" t="s">
        <v>984</v>
      </c>
      <c r="M218" s="9">
        <f t="shared" si="3"/>
        <v>24957</v>
      </c>
      <c r="N218" s="19" t="s">
        <v>28</v>
      </c>
    </row>
    <row r="219" spans="1:14">
      <c r="A219" s="17" t="s">
        <v>54</v>
      </c>
      <c r="B219" s="18">
        <v>28530</v>
      </c>
      <c r="C219" s="19" t="s">
        <v>130</v>
      </c>
      <c r="D219" s="18">
        <v>9870</v>
      </c>
      <c r="E219" s="19" t="s">
        <v>415</v>
      </c>
      <c r="F219" s="19" t="s">
        <v>692</v>
      </c>
      <c r="G219" s="5"/>
      <c r="H219" s="19" t="s">
        <v>751</v>
      </c>
      <c r="I219" s="19" t="s">
        <v>765</v>
      </c>
      <c r="J219" s="19" t="s">
        <v>770</v>
      </c>
      <c r="K219" s="18">
        <v>1546152.84</v>
      </c>
      <c r="L219" s="20" t="s">
        <v>985</v>
      </c>
      <c r="M219" s="9">
        <f t="shared" si="3"/>
        <v>1824460.35</v>
      </c>
      <c r="N219" s="19" t="s">
        <v>28</v>
      </c>
    </row>
    <row r="220" spans="1:14">
      <c r="A220" s="17" t="s">
        <v>54</v>
      </c>
      <c r="B220" s="18">
        <v>28628</v>
      </c>
      <c r="C220" s="19" t="s">
        <v>131</v>
      </c>
      <c r="D220" s="18">
        <v>9973</v>
      </c>
      <c r="E220" s="19" t="s">
        <v>416</v>
      </c>
      <c r="F220" s="19" t="s">
        <v>693</v>
      </c>
      <c r="G220" s="5"/>
      <c r="H220" s="19" t="s">
        <v>755</v>
      </c>
      <c r="I220" s="19" t="s">
        <v>34</v>
      </c>
      <c r="J220" s="19" t="s">
        <v>770</v>
      </c>
      <c r="K220" s="18">
        <v>23047391.600000001</v>
      </c>
      <c r="L220" s="20" t="s">
        <v>986</v>
      </c>
      <c r="M220" s="9">
        <f t="shared" si="3"/>
        <v>27195922.07</v>
      </c>
      <c r="N220" s="19" t="s">
        <v>28</v>
      </c>
    </row>
    <row r="221" spans="1:14">
      <c r="A221" s="17" t="s">
        <v>54</v>
      </c>
      <c r="B221" s="18">
        <v>28628</v>
      </c>
      <c r="C221" s="19" t="s">
        <v>131</v>
      </c>
      <c r="D221" s="18">
        <v>10393</v>
      </c>
      <c r="E221" s="19" t="s">
        <v>416</v>
      </c>
      <c r="F221" s="19" t="s">
        <v>694</v>
      </c>
      <c r="G221" s="5"/>
      <c r="H221" s="19" t="s">
        <v>755</v>
      </c>
      <c r="I221" s="19" t="s">
        <v>34</v>
      </c>
      <c r="J221" s="19" t="s">
        <v>770</v>
      </c>
      <c r="K221" s="18">
        <v>34947151.369999997</v>
      </c>
      <c r="L221" s="20" t="s">
        <v>987</v>
      </c>
      <c r="M221" s="9">
        <f t="shared" si="3"/>
        <v>41237638.609999999</v>
      </c>
      <c r="N221" s="19" t="s">
        <v>28</v>
      </c>
    </row>
    <row r="222" spans="1:14">
      <c r="A222" s="17" t="s">
        <v>54</v>
      </c>
      <c r="B222" s="18">
        <v>28628</v>
      </c>
      <c r="C222" s="19" t="s">
        <v>131</v>
      </c>
      <c r="D222" s="18">
        <v>9971</v>
      </c>
      <c r="E222" s="19" t="s">
        <v>417</v>
      </c>
      <c r="F222" s="19" t="s">
        <v>693</v>
      </c>
      <c r="G222" s="5"/>
      <c r="H222" s="19" t="s">
        <v>755</v>
      </c>
      <c r="I222" s="19" t="s">
        <v>34</v>
      </c>
      <c r="J222" s="19" t="s">
        <v>770</v>
      </c>
      <c r="K222" s="18">
        <v>50832492.780000001</v>
      </c>
      <c r="L222" s="20" t="s">
        <v>988</v>
      </c>
      <c r="M222" s="9">
        <f t="shared" si="3"/>
        <v>59982341.490000002</v>
      </c>
      <c r="N222" s="19" t="s">
        <v>30</v>
      </c>
    </row>
    <row r="223" spans="1:14">
      <c r="A223" s="17" t="s">
        <v>54</v>
      </c>
      <c r="B223" s="18">
        <v>28628</v>
      </c>
      <c r="C223" s="19" t="s">
        <v>131</v>
      </c>
      <c r="D223" s="18">
        <v>10429</v>
      </c>
      <c r="E223" s="19" t="s">
        <v>417</v>
      </c>
      <c r="F223" s="19" t="s">
        <v>695</v>
      </c>
      <c r="G223" s="5"/>
      <c r="H223" s="19" t="s">
        <v>755</v>
      </c>
      <c r="I223" s="19" t="s">
        <v>34</v>
      </c>
      <c r="J223" s="19" t="s">
        <v>770</v>
      </c>
      <c r="K223" s="18">
        <v>63336955.600000001</v>
      </c>
      <c r="L223" s="20" t="s">
        <v>989</v>
      </c>
      <c r="M223" s="9">
        <f t="shared" si="3"/>
        <v>74737607.620000005</v>
      </c>
      <c r="N223" s="19" t="s">
        <v>30</v>
      </c>
    </row>
    <row r="224" spans="1:14">
      <c r="A224" s="17" t="s">
        <v>54</v>
      </c>
      <c r="B224" s="18">
        <v>3228</v>
      </c>
      <c r="C224" s="19" t="s">
        <v>45</v>
      </c>
      <c r="D224" s="18">
        <v>10638</v>
      </c>
      <c r="E224" s="19" t="s">
        <v>418</v>
      </c>
      <c r="F224" s="19" t="s">
        <v>673</v>
      </c>
      <c r="G224" s="5"/>
      <c r="H224" s="19" t="s">
        <v>753</v>
      </c>
      <c r="I224" s="19" t="s">
        <v>34</v>
      </c>
      <c r="J224" s="19" t="s">
        <v>771</v>
      </c>
      <c r="K224" s="18">
        <v>18720000</v>
      </c>
      <c r="L224" s="20" t="s">
        <v>990</v>
      </c>
      <c r="M224" s="9">
        <f t="shared" si="3"/>
        <v>22259520</v>
      </c>
      <c r="N224" s="19" t="s">
        <v>29</v>
      </c>
    </row>
    <row r="225" spans="1:14">
      <c r="A225" s="17" t="s">
        <v>54</v>
      </c>
      <c r="B225" s="18">
        <v>1006</v>
      </c>
      <c r="C225" s="19" t="s">
        <v>132</v>
      </c>
      <c r="D225" s="18">
        <v>7844</v>
      </c>
      <c r="E225" s="19" t="s">
        <v>419</v>
      </c>
      <c r="F225" s="19" t="s">
        <v>696</v>
      </c>
      <c r="G225" s="5"/>
      <c r="H225" s="19" t="s">
        <v>758</v>
      </c>
      <c r="I225" s="19" t="s">
        <v>768</v>
      </c>
      <c r="J225" s="19" t="s">
        <v>771</v>
      </c>
      <c r="K225" s="18">
        <v>197491367.80000001</v>
      </c>
      <c r="L225" s="20" t="s">
        <v>991</v>
      </c>
      <c r="M225" s="9">
        <f t="shared" si="3"/>
        <v>229799741.16000003</v>
      </c>
      <c r="N225" s="19" t="s">
        <v>29</v>
      </c>
    </row>
    <row r="226" spans="1:14">
      <c r="A226" s="17" t="s">
        <v>54</v>
      </c>
      <c r="B226" s="18">
        <v>1006</v>
      </c>
      <c r="C226" s="19" t="s">
        <v>132</v>
      </c>
      <c r="D226" s="18">
        <v>7867</v>
      </c>
      <c r="E226" s="19" t="s">
        <v>420</v>
      </c>
      <c r="F226" s="19" t="s">
        <v>697</v>
      </c>
      <c r="G226" s="5"/>
      <c r="H226" s="19" t="s">
        <v>758</v>
      </c>
      <c r="I226" s="19" t="s">
        <v>768</v>
      </c>
      <c r="J226" s="19" t="s">
        <v>771</v>
      </c>
      <c r="K226" s="18">
        <v>1229529</v>
      </c>
      <c r="L226" s="20" t="s">
        <v>992</v>
      </c>
      <c r="M226" s="9">
        <f t="shared" si="3"/>
        <v>1451379.19</v>
      </c>
      <c r="N226" s="19" t="s">
        <v>29</v>
      </c>
    </row>
    <row r="227" spans="1:14">
      <c r="A227" s="17" t="s">
        <v>54</v>
      </c>
      <c r="B227" s="18">
        <v>1006</v>
      </c>
      <c r="C227" s="19" t="s">
        <v>132</v>
      </c>
      <c r="D227" s="18">
        <v>7865</v>
      </c>
      <c r="E227" s="19" t="s">
        <v>421</v>
      </c>
      <c r="F227" s="19" t="s">
        <v>698</v>
      </c>
      <c r="G227" s="5"/>
      <c r="H227" s="19" t="s">
        <v>758</v>
      </c>
      <c r="I227" s="19" t="s">
        <v>768</v>
      </c>
      <c r="J227" s="19" t="s">
        <v>770</v>
      </c>
      <c r="K227" s="18">
        <v>26148242.82</v>
      </c>
      <c r="L227" s="20" t="s">
        <v>993</v>
      </c>
      <c r="M227" s="9">
        <f t="shared" si="3"/>
        <v>30860635.789999999</v>
      </c>
      <c r="N227" s="19" t="s">
        <v>29</v>
      </c>
    </row>
    <row r="228" spans="1:14">
      <c r="A228" s="17" t="s">
        <v>54</v>
      </c>
      <c r="B228" s="18">
        <v>25215</v>
      </c>
      <c r="C228" s="19" t="s">
        <v>133</v>
      </c>
      <c r="D228" s="18">
        <v>10616</v>
      </c>
      <c r="E228" s="19" t="s">
        <v>422</v>
      </c>
      <c r="F228" s="19" t="s">
        <v>571</v>
      </c>
      <c r="G228" s="5"/>
      <c r="H228" s="19" t="s">
        <v>752</v>
      </c>
      <c r="I228" s="19" t="s">
        <v>34</v>
      </c>
      <c r="J228" s="19" t="s">
        <v>770</v>
      </c>
      <c r="K228" s="18">
        <v>138000</v>
      </c>
      <c r="L228" s="20" t="s">
        <v>994</v>
      </c>
      <c r="M228" s="9">
        <f t="shared" si="3"/>
        <v>162840</v>
      </c>
      <c r="N228" s="19" t="s">
        <v>28</v>
      </c>
    </row>
    <row r="229" spans="1:14">
      <c r="A229" s="17" t="s">
        <v>54</v>
      </c>
      <c r="B229" s="18">
        <v>27702</v>
      </c>
      <c r="C229" s="19" t="s">
        <v>134</v>
      </c>
      <c r="D229" s="18">
        <v>10396</v>
      </c>
      <c r="E229" s="19" t="s">
        <v>423</v>
      </c>
      <c r="F229" s="19" t="s">
        <v>638</v>
      </c>
      <c r="G229" s="5"/>
      <c r="H229" s="19" t="s">
        <v>753</v>
      </c>
      <c r="I229" s="19" t="s">
        <v>34</v>
      </c>
      <c r="J229" s="19" t="s">
        <v>770</v>
      </c>
      <c r="K229" s="18">
        <v>10320</v>
      </c>
      <c r="L229" s="20" t="s">
        <v>995</v>
      </c>
      <c r="M229" s="9">
        <f t="shared" si="3"/>
        <v>12508</v>
      </c>
      <c r="N229" s="19" t="s">
        <v>29</v>
      </c>
    </row>
    <row r="230" spans="1:14">
      <c r="A230" s="17" t="s">
        <v>54</v>
      </c>
      <c r="B230" s="18">
        <v>2574</v>
      </c>
      <c r="C230" s="19" t="s">
        <v>135</v>
      </c>
      <c r="D230" s="18">
        <v>10414</v>
      </c>
      <c r="E230" s="19" t="s">
        <v>424</v>
      </c>
      <c r="F230" s="19" t="s">
        <v>613</v>
      </c>
      <c r="G230" s="5"/>
      <c r="H230" s="19" t="s">
        <v>756</v>
      </c>
      <c r="I230" s="19" t="s">
        <v>767</v>
      </c>
      <c r="J230" s="19" t="s">
        <v>770</v>
      </c>
      <c r="K230" s="18">
        <v>889200</v>
      </c>
      <c r="L230" s="20" t="s">
        <v>996</v>
      </c>
      <c r="M230" s="9">
        <f t="shared" si="3"/>
        <v>1049256</v>
      </c>
      <c r="N230" s="19" t="s">
        <v>29</v>
      </c>
    </row>
    <row r="231" spans="1:14">
      <c r="A231" s="17" t="s">
        <v>54</v>
      </c>
      <c r="B231" s="18">
        <v>2574</v>
      </c>
      <c r="C231" s="19" t="s">
        <v>135</v>
      </c>
      <c r="D231" s="18">
        <v>10588</v>
      </c>
      <c r="E231" s="19" t="s">
        <v>425</v>
      </c>
      <c r="F231" s="19" t="s">
        <v>699</v>
      </c>
      <c r="G231" s="5"/>
      <c r="H231" s="19" t="s">
        <v>756</v>
      </c>
      <c r="I231" s="19" t="s">
        <v>767</v>
      </c>
      <c r="J231" s="19" t="s">
        <v>770</v>
      </c>
      <c r="K231" s="18">
        <v>213108</v>
      </c>
      <c r="L231" s="20" t="s">
        <v>997</v>
      </c>
      <c r="M231" s="9">
        <f t="shared" si="3"/>
        <v>251467.44</v>
      </c>
      <c r="N231" s="19" t="s">
        <v>29</v>
      </c>
    </row>
    <row r="232" spans="1:14">
      <c r="A232" s="17" t="s">
        <v>54</v>
      </c>
      <c r="B232" s="18">
        <v>28759</v>
      </c>
      <c r="C232" s="19" t="s">
        <v>136</v>
      </c>
      <c r="D232" s="18">
        <v>9974</v>
      </c>
      <c r="E232" s="19" t="s">
        <v>426</v>
      </c>
      <c r="F232" s="19" t="s">
        <v>693</v>
      </c>
      <c r="G232" s="5"/>
      <c r="H232" s="19" t="s">
        <v>755</v>
      </c>
      <c r="I232" s="19" t="s">
        <v>34</v>
      </c>
      <c r="J232" s="19" t="s">
        <v>770</v>
      </c>
      <c r="K232" s="18">
        <v>88221572.791999996</v>
      </c>
      <c r="L232" s="20" t="s">
        <v>998</v>
      </c>
      <c r="M232" s="9">
        <f t="shared" si="3"/>
        <v>104101455.882</v>
      </c>
      <c r="N232" s="19" t="s">
        <v>29</v>
      </c>
    </row>
    <row r="233" spans="1:14">
      <c r="A233" s="17" t="s">
        <v>54</v>
      </c>
      <c r="B233" s="18">
        <v>23377</v>
      </c>
      <c r="C233" s="19" t="s">
        <v>137</v>
      </c>
      <c r="D233" s="18">
        <v>9368</v>
      </c>
      <c r="E233" s="19" t="s">
        <v>427</v>
      </c>
      <c r="F233" s="19" t="s">
        <v>700</v>
      </c>
      <c r="G233" s="5"/>
      <c r="H233" s="19" t="s">
        <v>755</v>
      </c>
      <c r="I233" s="19" t="s">
        <v>34</v>
      </c>
      <c r="J233" s="19" t="s">
        <v>770</v>
      </c>
      <c r="K233" s="18">
        <v>6320434.0999999996</v>
      </c>
      <c r="L233" s="20" t="s">
        <v>999</v>
      </c>
      <c r="M233" s="9">
        <f t="shared" si="3"/>
        <v>7458112.2399999993</v>
      </c>
      <c r="N233" s="19" t="s">
        <v>28</v>
      </c>
    </row>
    <row r="234" spans="1:14">
      <c r="A234" s="17" t="s">
        <v>54</v>
      </c>
      <c r="B234" s="18">
        <v>23377</v>
      </c>
      <c r="C234" s="19" t="s">
        <v>137</v>
      </c>
      <c r="D234" s="18">
        <v>9330</v>
      </c>
      <c r="E234" s="19" t="s">
        <v>428</v>
      </c>
      <c r="F234" s="19" t="s">
        <v>701</v>
      </c>
      <c r="G234" s="5"/>
      <c r="H234" s="19" t="s">
        <v>751</v>
      </c>
      <c r="I234" s="19" t="s">
        <v>765</v>
      </c>
      <c r="J234" s="19" t="s">
        <v>770</v>
      </c>
      <c r="K234" s="18">
        <v>10665416.75</v>
      </c>
      <c r="L234" s="20" t="s">
        <v>1000</v>
      </c>
      <c r="M234" s="9">
        <f t="shared" si="3"/>
        <v>12585191.76</v>
      </c>
      <c r="N234" s="19" t="s">
        <v>28</v>
      </c>
    </row>
    <row r="235" spans="1:14">
      <c r="A235" s="17" t="s">
        <v>54</v>
      </c>
      <c r="B235" s="18">
        <v>23377</v>
      </c>
      <c r="C235" s="19" t="s">
        <v>137</v>
      </c>
      <c r="D235" s="18">
        <v>9303</v>
      </c>
      <c r="E235" s="19" t="s">
        <v>429</v>
      </c>
      <c r="F235" s="19" t="s">
        <v>702</v>
      </c>
      <c r="G235" s="5"/>
      <c r="H235" s="19" t="s">
        <v>755</v>
      </c>
      <c r="I235" s="19" t="s">
        <v>34</v>
      </c>
      <c r="J235" s="19" t="s">
        <v>770</v>
      </c>
      <c r="K235" s="18">
        <v>36122097.619999997</v>
      </c>
      <c r="L235" s="20" t="s">
        <v>1001</v>
      </c>
      <c r="M235" s="9">
        <f t="shared" si="3"/>
        <v>42624075.18</v>
      </c>
      <c r="N235" s="19" t="s">
        <v>28</v>
      </c>
    </row>
    <row r="236" spans="1:14">
      <c r="A236" s="17" t="s">
        <v>54</v>
      </c>
      <c r="B236" s="18">
        <v>17505</v>
      </c>
      <c r="C236" s="19" t="s">
        <v>138</v>
      </c>
      <c r="D236" s="18">
        <v>9297</v>
      </c>
      <c r="E236" s="19" t="s">
        <v>430</v>
      </c>
      <c r="F236" s="19" t="s">
        <v>703</v>
      </c>
      <c r="G236" s="5"/>
      <c r="H236" s="19" t="s">
        <v>751</v>
      </c>
      <c r="I236" s="19" t="s">
        <v>765</v>
      </c>
      <c r="J236" s="19" t="s">
        <v>770</v>
      </c>
      <c r="K236" s="18">
        <v>436644</v>
      </c>
      <c r="L236" s="20" t="s">
        <v>1002</v>
      </c>
      <c r="M236" s="9">
        <f t="shared" si="3"/>
        <v>515239.92</v>
      </c>
      <c r="N236" s="19" t="s">
        <v>28</v>
      </c>
    </row>
    <row r="237" spans="1:14">
      <c r="A237" s="17" t="s">
        <v>54</v>
      </c>
      <c r="B237" s="18">
        <v>27583</v>
      </c>
      <c r="C237" s="19" t="s">
        <v>139</v>
      </c>
      <c r="D237" s="18">
        <v>10372</v>
      </c>
      <c r="E237" s="19" t="s">
        <v>431</v>
      </c>
      <c r="F237" s="19" t="s">
        <v>704</v>
      </c>
      <c r="G237" s="5"/>
      <c r="H237" s="19" t="s">
        <v>753</v>
      </c>
      <c r="I237" s="19" t="s">
        <v>34</v>
      </c>
      <c r="J237" s="19" t="s">
        <v>770</v>
      </c>
      <c r="K237" s="18">
        <v>562500</v>
      </c>
      <c r="L237" s="20" t="s">
        <v>1003</v>
      </c>
      <c r="M237" s="9">
        <f t="shared" si="3"/>
        <v>663750</v>
      </c>
      <c r="N237" s="19" t="s">
        <v>29</v>
      </c>
    </row>
    <row r="238" spans="1:14">
      <c r="A238" s="17" t="s">
        <v>54</v>
      </c>
      <c r="B238" s="18">
        <v>2609</v>
      </c>
      <c r="C238" s="19" t="s">
        <v>140</v>
      </c>
      <c r="D238" s="18">
        <v>10430</v>
      </c>
      <c r="E238" s="19" t="s">
        <v>432</v>
      </c>
      <c r="F238" s="19" t="s">
        <v>705</v>
      </c>
      <c r="G238" s="5"/>
      <c r="H238" s="19" t="s">
        <v>763</v>
      </c>
      <c r="I238" s="19" t="s">
        <v>34</v>
      </c>
      <c r="J238" s="19" t="s">
        <v>770</v>
      </c>
      <c r="K238" s="18">
        <v>33062</v>
      </c>
      <c r="L238" s="20" t="s">
        <v>1004</v>
      </c>
      <c r="M238" s="9">
        <f t="shared" si="3"/>
        <v>39013.160000000003</v>
      </c>
      <c r="N238" s="19" t="s">
        <v>29</v>
      </c>
    </row>
    <row r="239" spans="1:14">
      <c r="A239" s="17" t="s">
        <v>54</v>
      </c>
      <c r="B239" s="18">
        <v>3228</v>
      </c>
      <c r="C239" s="19" t="s">
        <v>45</v>
      </c>
      <c r="D239" s="18">
        <v>10428</v>
      </c>
      <c r="E239" s="19" t="s">
        <v>433</v>
      </c>
      <c r="F239" s="19" t="s">
        <v>706</v>
      </c>
      <c r="G239" s="5"/>
      <c r="H239" s="19" t="s">
        <v>759</v>
      </c>
      <c r="I239" s="19" t="s">
        <v>34</v>
      </c>
      <c r="J239" s="19" t="s">
        <v>770</v>
      </c>
      <c r="K239" s="18">
        <v>1797120</v>
      </c>
      <c r="L239" s="20" t="s">
        <v>1005</v>
      </c>
      <c r="M239" s="9">
        <f t="shared" si="3"/>
        <v>2120601.6000000001</v>
      </c>
      <c r="N239" s="19" t="s">
        <v>29</v>
      </c>
    </row>
    <row r="240" spans="1:14">
      <c r="A240" s="17" t="s">
        <v>54</v>
      </c>
      <c r="B240" s="18">
        <v>3228</v>
      </c>
      <c r="C240" s="19" t="s">
        <v>45</v>
      </c>
      <c r="D240" s="18">
        <v>10421</v>
      </c>
      <c r="E240" s="19" t="s">
        <v>434</v>
      </c>
      <c r="F240" s="19" t="s">
        <v>537</v>
      </c>
      <c r="G240" s="5"/>
      <c r="H240" s="19" t="s">
        <v>757</v>
      </c>
      <c r="I240" s="19" t="s">
        <v>767</v>
      </c>
      <c r="J240" s="19" t="s">
        <v>770</v>
      </c>
      <c r="K240" s="18">
        <v>4408560</v>
      </c>
      <c r="L240" s="20" t="s">
        <v>1006</v>
      </c>
      <c r="M240" s="9">
        <f t="shared" si="3"/>
        <v>5202100.8</v>
      </c>
      <c r="N240" s="19" t="s">
        <v>29</v>
      </c>
    </row>
    <row r="241" spans="1:14">
      <c r="A241" s="17" t="s">
        <v>54</v>
      </c>
      <c r="B241" s="18">
        <v>2469</v>
      </c>
      <c r="C241" s="19" t="s">
        <v>141</v>
      </c>
      <c r="D241" s="18">
        <v>10080</v>
      </c>
      <c r="E241" s="19" t="s">
        <v>435</v>
      </c>
      <c r="F241" s="19" t="s">
        <v>685</v>
      </c>
      <c r="G241" s="5"/>
      <c r="H241" s="19" t="s">
        <v>752</v>
      </c>
      <c r="I241" s="19" t="s">
        <v>34</v>
      </c>
      <c r="J241" s="19" t="s">
        <v>770</v>
      </c>
      <c r="K241" s="18">
        <v>290200</v>
      </c>
      <c r="L241" s="20" t="s">
        <v>1007</v>
      </c>
      <c r="M241" s="9">
        <f t="shared" si="3"/>
        <v>342436</v>
      </c>
      <c r="N241" s="19" t="s">
        <v>28</v>
      </c>
    </row>
    <row r="242" spans="1:14">
      <c r="A242" s="17" t="s">
        <v>54</v>
      </c>
      <c r="B242" s="18">
        <v>2660</v>
      </c>
      <c r="C242" s="19" t="s">
        <v>142</v>
      </c>
      <c r="D242" s="18">
        <v>10467</v>
      </c>
      <c r="E242" s="19" t="s">
        <v>436</v>
      </c>
      <c r="F242" s="19" t="s">
        <v>670</v>
      </c>
      <c r="G242" s="5"/>
      <c r="H242" s="19" t="s">
        <v>756</v>
      </c>
      <c r="I242" s="19" t="s">
        <v>767</v>
      </c>
      <c r="J242" s="19" t="s">
        <v>770</v>
      </c>
      <c r="K242" s="18">
        <v>25238</v>
      </c>
      <c r="L242" s="20" t="s">
        <v>1008</v>
      </c>
      <c r="M242" s="9">
        <f t="shared" si="3"/>
        <v>29780.84</v>
      </c>
      <c r="N242" s="19" t="s">
        <v>29</v>
      </c>
    </row>
    <row r="243" spans="1:14">
      <c r="A243" s="17" t="s">
        <v>54</v>
      </c>
      <c r="B243" s="18">
        <v>2660</v>
      </c>
      <c r="C243" s="19" t="s">
        <v>142</v>
      </c>
      <c r="D243" s="18">
        <v>10565</v>
      </c>
      <c r="E243" s="19" t="s">
        <v>437</v>
      </c>
      <c r="F243" s="19" t="s">
        <v>707</v>
      </c>
      <c r="G243" s="5"/>
      <c r="H243" s="19" t="s">
        <v>759</v>
      </c>
      <c r="I243" s="19" t="s">
        <v>34</v>
      </c>
      <c r="J243" s="19" t="s">
        <v>770</v>
      </c>
      <c r="K243" s="18">
        <v>40637</v>
      </c>
      <c r="L243" s="20" t="s">
        <v>1009</v>
      </c>
      <c r="M243" s="9">
        <f t="shared" si="3"/>
        <v>47951.66</v>
      </c>
      <c r="N243" s="19" t="s">
        <v>41</v>
      </c>
    </row>
    <row r="244" spans="1:14">
      <c r="A244" s="17" t="s">
        <v>54</v>
      </c>
      <c r="B244" s="18">
        <v>3044</v>
      </c>
      <c r="C244" s="19" t="s">
        <v>143</v>
      </c>
      <c r="D244" s="18">
        <v>10434</v>
      </c>
      <c r="E244" s="19" t="s">
        <v>438</v>
      </c>
      <c r="F244" s="19" t="s">
        <v>534</v>
      </c>
      <c r="G244" s="5"/>
      <c r="H244" s="19" t="s">
        <v>754</v>
      </c>
      <c r="I244" s="19" t="s">
        <v>34</v>
      </c>
      <c r="J244" s="19" t="s">
        <v>770</v>
      </c>
      <c r="K244" s="18">
        <v>64000</v>
      </c>
      <c r="L244" s="20" t="s">
        <v>1010</v>
      </c>
      <c r="M244" s="9">
        <f t="shared" si="3"/>
        <v>77785.600000000006</v>
      </c>
      <c r="N244" s="19" t="s">
        <v>35</v>
      </c>
    </row>
    <row r="245" spans="1:14">
      <c r="A245" s="17" t="s">
        <v>54</v>
      </c>
      <c r="B245" s="18">
        <v>23348</v>
      </c>
      <c r="C245" s="19" t="s">
        <v>144</v>
      </c>
      <c r="D245" s="18">
        <v>10607</v>
      </c>
      <c r="E245" s="19" t="s">
        <v>296</v>
      </c>
      <c r="F245" s="19" t="s">
        <v>668</v>
      </c>
      <c r="G245" s="5"/>
      <c r="H245" s="19" t="s">
        <v>761</v>
      </c>
      <c r="I245" s="19" t="s">
        <v>768</v>
      </c>
      <c r="J245" s="19" t="s">
        <v>770</v>
      </c>
      <c r="K245" s="18">
        <v>17281300</v>
      </c>
      <c r="L245" s="20" t="s">
        <v>1011</v>
      </c>
      <c r="M245" s="9">
        <f t="shared" si="3"/>
        <v>19355056</v>
      </c>
      <c r="N245" s="19" t="s">
        <v>28</v>
      </c>
    </row>
    <row r="246" spans="1:14">
      <c r="A246" s="17" t="s">
        <v>54</v>
      </c>
      <c r="B246" s="18">
        <v>23348</v>
      </c>
      <c r="C246" s="19" t="s">
        <v>144</v>
      </c>
      <c r="D246" s="18">
        <v>10309</v>
      </c>
      <c r="E246" s="19" t="s">
        <v>439</v>
      </c>
      <c r="F246" s="19" t="s">
        <v>708</v>
      </c>
      <c r="G246" s="5"/>
      <c r="H246" s="19" t="s">
        <v>761</v>
      </c>
      <c r="I246" s="19" t="s">
        <v>768</v>
      </c>
      <c r="J246" s="19" t="s">
        <v>770</v>
      </c>
      <c r="K246" s="18">
        <v>67607062.5</v>
      </c>
      <c r="L246" s="20" t="s">
        <v>1012</v>
      </c>
      <c r="M246" s="9">
        <f t="shared" si="3"/>
        <v>75719910</v>
      </c>
      <c r="N246" s="19" t="s">
        <v>27</v>
      </c>
    </row>
    <row r="247" spans="1:14">
      <c r="A247" s="17" t="s">
        <v>54</v>
      </c>
      <c r="B247" s="18">
        <v>1581</v>
      </c>
      <c r="C247" s="19" t="s">
        <v>145</v>
      </c>
      <c r="D247" s="18">
        <v>9972</v>
      </c>
      <c r="E247" s="19" t="s">
        <v>440</v>
      </c>
      <c r="F247" s="19" t="s">
        <v>693</v>
      </c>
      <c r="G247" s="5"/>
      <c r="H247" s="19" t="s">
        <v>758</v>
      </c>
      <c r="I247" s="19" t="s">
        <v>768</v>
      </c>
      <c r="J247" s="19" t="s">
        <v>771</v>
      </c>
      <c r="K247" s="18">
        <v>817199.81</v>
      </c>
      <c r="L247" s="20" t="s">
        <v>1013</v>
      </c>
      <c r="M247" s="9">
        <f t="shared" si="3"/>
        <v>964295.77</v>
      </c>
      <c r="N247" s="19" t="s">
        <v>29</v>
      </c>
    </row>
    <row r="248" spans="1:14">
      <c r="A248" s="17" t="s">
        <v>54</v>
      </c>
      <c r="B248" s="18">
        <v>22697</v>
      </c>
      <c r="C248" s="19" t="s">
        <v>146</v>
      </c>
      <c r="D248" s="18">
        <v>10268</v>
      </c>
      <c r="E248" s="19" t="s">
        <v>441</v>
      </c>
      <c r="F248" s="19" t="s">
        <v>709</v>
      </c>
      <c r="G248" s="5"/>
      <c r="H248" s="19" t="s">
        <v>33</v>
      </c>
      <c r="I248" s="19" t="s">
        <v>34</v>
      </c>
      <c r="J248" s="19" t="s">
        <v>770</v>
      </c>
      <c r="K248" s="18">
        <v>43596</v>
      </c>
      <c r="L248" s="20" t="s">
        <v>1014</v>
      </c>
      <c r="M248" s="9">
        <f t="shared" si="3"/>
        <v>51443.28</v>
      </c>
      <c r="N248" s="19" t="s">
        <v>28</v>
      </c>
    </row>
    <row r="249" spans="1:14">
      <c r="A249" s="17" t="s">
        <v>54</v>
      </c>
      <c r="B249" s="18">
        <v>22697</v>
      </c>
      <c r="C249" s="19" t="s">
        <v>146</v>
      </c>
      <c r="D249" s="18">
        <v>10422</v>
      </c>
      <c r="E249" s="19" t="s">
        <v>442</v>
      </c>
      <c r="F249" s="19" t="s">
        <v>537</v>
      </c>
      <c r="G249" s="5"/>
      <c r="H249" s="19" t="s">
        <v>755</v>
      </c>
      <c r="I249" s="19" t="s">
        <v>34</v>
      </c>
      <c r="J249" s="19" t="s">
        <v>770</v>
      </c>
      <c r="K249" s="18">
        <v>8279887</v>
      </c>
      <c r="L249" s="20" t="s">
        <v>1015</v>
      </c>
      <c r="M249" s="9">
        <f t="shared" si="3"/>
        <v>9770266.6600000001</v>
      </c>
      <c r="N249" s="19" t="s">
        <v>28</v>
      </c>
    </row>
    <row r="250" spans="1:14">
      <c r="A250" s="17" t="s">
        <v>54</v>
      </c>
      <c r="B250" s="18">
        <v>29251</v>
      </c>
      <c r="C250" s="19" t="s">
        <v>147</v>
      </c>
      <c r="D250" s="18">
        <v>10614</v>
      </c>
      <c r="E250" s="19" t="s">
        <v>443</v>
      </c>
      <c r="F250" s="19" t="s">
        <v>571</v>
      </c>
      <c r="G250" s="5"/>
      <c r="H250" s="19" t="s">
        <v>756</v>
      </c>
      <c r="I250" s="19" t="s">
        <v>767</v>
      </c>
      <c r="J250" s="19" t="s">
        <v>770</v>
      </c>
      <c r="K250" s="18">
        <v>455574</v>
      </c>
      <c r="L250" s="20" t="s">
        <v>1016</v>
      </c>
      <c r="M250" s="9">
        <f t="shared" si="3"/>
        <v>537577.32000000007</v>
      </c>
      <c r="N250" s="19" t="s">
        <v>29</v>
      </c>
    </row>
    <row r="251" spans="1:14">
      <c r="A251" s="17" t="s">
        <v>54</v>
      </c>
      <c r="B251" s="18">
        <v>161</v>
      </c>
      <c r="C251" s="19" t="s">
        <v>148</v>
      </c>
      <c r="D251" s="18">
        <v>10526</v>
      </c>
      <c r="E251" s="19" t="s">
        <v>444</v>
      </c>
      <c r="F251" s="19" t="s">
        <v>540</v>
      </c>
      <c r="G251" s="5"/>
      <c r="H251" s="19" t="s">
        <v>753</v>
      </c>
      <c r="I251" s="19" t="s">
        <v>34</v>
      </c>
      <c r="J251" s="19" t="s">
        <v>771</v>
      </c>
      <c r="K251" s="18">
        <v>224475</v>
      </c>
      <c r="L251" s="20" t="s">
        <v>1017</v>
      </c>
      <c r="M251" s="9">
        <f t="shared" si="3"/>
        <v>394090.5</v>
      </c>
      <c r="N251" s="19" t="s">
        <v>29</v>
      </c>
    </row>
    <row r="252" spans="1:14">
      <c r="A252" s="17" t="s">
        <v>54</v>
      </c>
      <c r="B252" s="18">
        <v>28666</v>
      </c>
      <c r="C252" s="19" t="s">
        <v>149</v>
      </c>
      <c r="D252" s="18">
        <v>9970</v>
      </c>
      <c r="E252" s="19"/>
      <c r="F252" s="19" t="s">
        <v>710</v>
      </c>
      <c r="G252" s="5"/>
      <c r="H252" s="19" t="s">
        <v>751</v>
      </c>
      <c r="I252" s="19" t="s">
        <v>765</v>
      </c>
      <c r="J252" s="19" t="s">
        <v>770</v>
      </c>
      <c r="K252" s="18">
        <v>739796</v>
      </c>
      <c r="L252" s="20" t="s">
        <v>1018</v>
      </c>
      <c r="M252" s="9">
        <f t="shared" si="3"/>
        <v>872959.28</v>
      </c>
      <c r="N252" s="19" t="s">
        <v>30</v>
      </c>
    </row>
    <row r="253" spans="1:14">
      <c r="A253" s="17" t="s">
        <v>54</v>
      </c>
      <c r="B253" s="18">
        <v>2583</v>
      </c>
      <c r="C253" s="19" t="s">
        <v>150</v>
      </c>
      <c r="D253" s="18">
        <v>10470</v>
      </c>
      <c r="E253" s="19" t="s">
        <v>445</v>
      </c>
      <c r="F253" s="19" t="s">
        <v>670</v>
      </c>
      <c r="G253" s="5"/>
      <c r="H253" s="19" t="s">
        <v>757</v>
      </c>
      <c r="I253" s="19" t="s">
        <v>767</v>
      </c>
      <c r="J253" s="19" t="s">
        <v>770</v>
      </c>
      <c r="K253" s="18">
        <v>341880</v>
      </c>
      <c r="L253" s="20" t="s">
        <v>1019</v>
      </c>
      <c r="M253" s="9">
        <f t="shared" si="3"/>
        <v>403418.4</v>
      </c>
      <c r="N253" s="19" t="s">
        <v>41</v>
      </c>
    </row>
    <row r="254" spans="1:14">
      <c r="A254" s="17" t="s">
        <v>54</v>
      </c>
      <c r="B254" s="18">
        <v>28792</v>
      </c>
      <c r="C254" s="19" t="s">
        <v>48</v>
      </c>
      <c r="D254" s="18">
        <v>10453</v>
      </c>
      <c r="E254" s="19" t="s">
        <v>446</v>
      </c>
      <c r="F254" s="19" t="s">
        <v>711</v>
      </c>
      <c r="G254" s="5"/>
      <c r="H254" s="19" t="s">
        <v>762</v>
      </c>
      <c r="I254" s="19" t="s">
        <v>34</v>
      </c>
      <c r="J254" s="19" t="s">
        <v>770</v>
      </c>
      <c r="K254" s="18">
        <v>378000</v>
      </c>
      <c r="L254" s="20" t="s">
        <v>1020</v>
      </c>
      <c r="M254" s="9">
        <f t="shared" si="3"/>
        <v>446040</v>
      </c>
      <c r="N254" s="19" t="s">
        <v>29</v>
      </c>
    </row>
    <row r="255" spans="1:14">
      <c r="A255" s="17" t="s">
        <v>54</v>
      </c>
      <c r="B255" s="18">
        <v>25911</v>
      </c>
      <c r="C255" s="19" t="s">
        <v>151</v>
      </c>
      <c r="D255" s="18">
        <v>7934</v>
      </c>
      <c r="E255" s="19" t="s">
        <v>447</v>
      </c>
      <c r="F255" s="19" t="s">
        <v>712</v>
      </c>
      <c r="G255" s="5"/>
      <c r="H255" s="19" t="s">
        <v>751</v>
      </c>
      <c r="I255" s="19" t="s">
        <v>765</v>
      </c>
      <c r="J255" s="19" t="s">
        <v>770</v>
      </c>
      <c r="K255" s="18">
        <v>1272786713.0999999</v>
      </c>
      <c r="L255" s="20" t="s">
        <v>1021</v>
      </c>
      <c r="M255" s="9">
        <f t="shared" si="3"/>
        <v>1501888321.4199998</v>
      </c>
      <c r="N255" s="19" t="s">
        <v>28</v>
      </c>
    </row>
    <row r="256" spans="1:14">
      <c r="A256" s="17" t="s">
        <v>54</v>
      </c>
      <c r="B256" s="18">
        <v>25911</v>
      </c>
      <c r="C256" s="19" t="s">
        <v>151</v>
      </c>
      <c r="D256" s="18">
        <v>7634</v>
      </c>
      <c r="E256" s="19" t="s">
        <v>448</v>
      </c>
      <c r="F256" s="19" t="s">
        <v>713</v>
      </c>
      <c r="G256" s="5"/>
      <c r="H256" s="19" t="s">
        <v>751</v>
      </c>
      <c r="I256" s="19" t="s">
        <v>765</v>
      </c>
      <c r="J256" s="19" t="s">
        <v>770</v>
      </c>
      <c r="K256" s="18">
        <v>1557427876.7</v>
      </c>
      <c r="L256" s="20" t="s">
        <v>1022</v>
      </c>
      <c r="M256" s="9">
        <f t="shared" si="3"/>
        <v>1837764894.5</v>
      </c>
      <c r="N256" s="19" t="s">
        <v>28</v>
      </c>
    </row>
    <row r="257" spans="1:14">
      <c r="A257" s="17" t="s">
        <v>54</v>
      </c>
      <c r="B257" s="18">
        <v>25911</v>
      </c>
      <c r="C257" s="19" t="s">
        <v>151</v>
      </c>
      <c r="D257" s="18">
        <v>7899</v>
      </c>
      <c r="E257" s="19" t="s">
        <v>449</v>
      </c>
      <c r="F257" s="19" t="s">
        <v>714</v>
      </c>
      <c r="G257" s="5"/>
      <c r="H257" s="19" t="s">
        <v>751</v>
      </c>
      <c r="I257" s="19" t="s">
        <v>765</v>
      </c>
      <c r="J257" s="19" t="s">
        <v>770</v>
      </c>
      <c r="K257" s="18">
        <v>3328964415.5</v>
      </c>
      <c r="L257" s="20" t="s">
        <v>1023</v>
      </c>
      <c r="M257" s="9">
        <f t="shared" si="3"/>
        <v>3928178010.2799997</v>
      </c>
      <c r="N257" s="19" t="s">
        <v>28</v>
      </c>
    </row>
    <row r="258" spans="1:14">
      <c r="A258" s="17" t="s">
        <v>54</v>
      </c>
      <c r="B258" s="18">
        <v>28322</v>
      </c>
      <c r="C258" s="19" t="s">
        <v>152</v>
      </c>
      <c r="D258" s="18">
        <v>10380</v>
      </c>
      <c r="E258" s="19" t="s">
        <v>450</v>
      </c>
      <c r="F258" s="19" t="s">
        <v>635</v>
      </c>
      <c r="G258" s="5"/>
      <c r="H258" s="19" t="s">
        <v>753</v>
      </c>
      <c r="I258" s="19" t="s">
        <v>34</v>
      </c>
      <c r="J258" s="19" t="s">
        <v>770</v>
      </c>
      <c r="K258" s="18">
        <v>636100</v>
      </c>
      <c r="L258" s="20" t="s">
        <v>1024</v>
      </c>
      <c r="M258" s="9">
        <f t="shared" ref="M258:M321" si="4">+K258+L258</f>
        <v>750598</v>
      </c>
      <c r="N258" s="19" t="s">
        <v>29</v>
      </c>
    </row>
    <row r="259" spans="1:14">
      <c r="A259" s="17" t="s">
        <v>54</v>
      </c>
      <c r="B259" s="18">
        <v>29027</v>
      </c>
      <c r="C259" s="19" t="s">
        <v>55</v>
      </c>
      <c r="D259" s="18">
        <v>10368</v>
      </c>
      <c r="E259" s="19" t="s">
        <v>451</v>
      </c>
      <c r="F259" s="19" t="s">
        <v>576</v>
      </c>
      <c r="G259" s="5"/>
      <c r="H259" s="19" t="s">
        <v>33</v>
      </c>
      <c r="I259" s="19" t="s">
        <v>34</v>
      </c>
      <c r="J259" s="19" t="s">
        <v>770</v>
      </c>
      <c r="K259" s="18">
        <v>380100</v>
      </c>
      <c r="L259" s="20" t="s">
        <v>1025</v>
      </c>
      <c r="M259" s="9">
        <f t="shared" si="4"/>
        <v>448518</v>
      </c>
      <c r="N259" s="19" t="s">
        <v>28</v>
      </c>
    </row>
    <row r="260" spans="1:14">
      <c r="A260" s="17" t="s">
        <v>54</v>
      </c>
      <c r="B260" s="18">
        <v>28987</v>
      </c>
      <c r="C260" s="19" t="s">
        <v>97</v>
      </c>
      <c r="D260" s="18">
        <v>10319</v>
      </c>
      <c r="E260" s="19" t="s">
        <v>452</v>
      </c>
      <c r="F260" s="19" t="s">
        <v>715</v>
      </c>
      <c r="G260" s="5"/>
      <c r="H260" s="19" t="s">
        <v>756</v>
      </c>
      <c r="I260" s="19" t="s">
        <v>767</v>
      </c>
      <c r="J260" s="19" t="s">
        <v>770</v>
      </c>
      <c r="K260" s="18">
        <v>274512</v>
      </c>
      <c r="L260" s="20" t="s">
        <v>1026</v>
      </c>
      <c r="M260" s="9">
        <f t="shared" si="4"/>
        <v>323924.16000000003</v>
      </c>
      <c r="N260" s="19" t="s">
        <v>29</v>
      </c>
    </row>
    <row r="261" spans="1:14">
      <c r="A261" s="17" t="s">
        <v>54</v>
      </c>
      <c r="B261" s="18">
        <v>24277</v>
      </c>
      <c r="C261" s="19" t="s">
        <v>153</v>
      </c>
      <c r="D261" s="18">
        <v>10266</v>
      </c>
      <c r="E261" s="19" t="s">
        <v>453</v>
      </c>
      <c r="F261" s="19" t="s">
        <v>709</v>
      </c>
      <c r="G261" s="5"/>
      <c r="H261" s="19" t="s">
        <v>756</v>
      </c>
      <c r="I261" s="19" t="s">
        <v>767</v>
      </c>
      <c r="J261" s="19" t="s">
        <v>770</v>
      </c>
      <c r="K261" s="18">
        <v>6014000</v>
      </c>
      <c r="L261" s="20" t="s">
        <v>1027</v>
      </c>
      <c r="M261" s="9">
        <f t="shared" si="4"/>
        <v>7096520</v>
      </c>
      <c r="N261" s="19" t="s">
        <v>29</v>
      </c>
    </row>
    <row r="262" spans="1:14">
      <c r="A262" s="17" t="s">
        <v>54</v>
      </c>
      <c r="B262" s="18">
        <v>27958</v>
      </c>
      <c r="C262" s="19" t="s">
        <v>154</v>
      </c>
      <c r="D262" s="18">
        <v>10610</v>
      </c>
      <c r="E262" s="19" t="s">
        <v>454</v>
      </c>
      <c r="F262" s="19" t="s">
        <v>668</v>
      </c>
      <c r="G262" s="5"/>
      <c r="H262" s="19" t="s">
        <v>754</v>
      </c>
      <c r="I262" s="19" t="s">
        <v>34</v>
      </c>
      <c r="J262" s="19" t="s">
        <v>770</v>
      </c>
      <c r="K262" s="18">
        <v>40000</v>
      </c>
      <c r="L262" s="20" t="s">
        <v>1028</v>
      </c>
      <c r="M262" s="9">
        <f t="shared" si="4"/>
        <v>47200</v>
      </c>
      <c r="N262" s="19" t="s">
        <v>29</v>
      </c>
    </row>
    <row r="263" spans="1:14">
      <c r="A263" s="17" t="s">
        <v>54</v>
      </c>
      <c r="B263" s="18">
        <v>2963</v>
      </c>
      <c r="C263" s="19" t="s">
        <v>51</v>
      </c>
      <c r="D263" s="18">
        <v>10447</v>
      </c>
      <c r="E263" s="19" t="s">
        <v>455</v>
      </c>
      <c r="F263" s="19" t="s">
        <v>716</v>
      </c>
      <c r="G263" s="5"/>
      <c r="H263" s="19" t="s">
        <v>756</v>
      </c>
      <c r="I263" s="19" t="s">
        <v>767</v>
      </c>
      <c r="J263" s="19" t="s">
        <v>770</v>
      </c>
      <c r="K263" s="18">
        <v>2138900</v>
      </c>
      <c r="L263" s="20" t="s">
        <v>1029</v>
      </c>
      <c r="M263" s="9">
        <f t="shared" si="4"/>
        <v>2523902</v>
      </c>
      <c r="N263" s="19" t="s">
        <v>29</v>
      </c>
    </row>
    <row r="264" spans="1:14">
      <c r="A264" s="17" t="s">
        <v>54</v>
      </c>
      <c r="B264" s="18">
        <v>2963</v>
      </c>
      <c r="C264" s="19" t="s">
        <v>51</v>
      </c>
      <c r="D264" s="18">
        <v>10619</v>
      </c>
      <c r="E264" s="19" t="s">
        <v>456</v>
      </c>
      <c r="F264" s="19" t="s">
        <v>650</v>
      </c>
      <c r="G264" s="5"/>
      <c r="H264" s="19" t="s">
        <v>756</v>
      </c>
      <c r="I264" s="19" t="s">
        <v>767</v>
      </c>
      <c r="J264" s="19" t="s">
        <v>770</v>
      </c>
      <c r="K264" s="18">
        <v>0</v>
      </c>
      <c r="L264" s="20" t="s">
        <v>1030</v>
      </c>
      <c r="M264" s="9">
        <f t="shared" si="4"/>
        <v>0</v>
      </c>
      <c r="N264" s="19" t="s">
        <v>29</v>
      </c>
    </row>
    <row r="265" spans="1:14">
      <c r="A265" s="17" t="s">
        <v>54</v>
      </c>
      <c r="B265" s="18">
        <v>2963</v>
      </c>
      <c r="C265" s="19" t="s">
        <v>51</v>
      </c>
      <c r="D265" s="18">
        <v>10425</v>
      </c>
      <c r="E265" s="19" t="s">
        <v>457</v>
      </c>
      <c r="F265" s="19" t="s">
        <v>646</v>
      </c>
      <c r="G265" s="5"/>
      <c r="H265" s="19" t="s">
        <v>756</v>
      </c>
      <c r="I265" s="19" t="s">
        <v>767</v>
      </c>
      <c r="J265" s="19" t="s">
        <v>770</v>
      </c>
      <c r="K265" s="18">
        <v>320000</v>
      </c>
      <c r="L265" s="20" t="s">
        <v>907</v>
      </c>
      <c r="M265" s="9">
        <f t="shared" si="4"/>
        <v>377600</v>
      </c>
      <c r="N265" s="19" t="s">
        <v>29</v>
      </c>
    </row>
    <row r="266" spans="1:14">
      <c r="A266" s="17" t="s">
        <v>54</v>
      </c>
      <c r="B266" s="18">
        <v>3949</v>
      </c>
      <c r="C266" s="19" t="s">
        <v>155</v>
      </c>
      <c r="D266" s="18">
        <v>7730</v>
      </c>
      <c r="E266" s="19" t="s">
        <v>458</v>
      </c>
      <c r="F266" s="19" t="s">
        <v>717</v>
      </c>
      <c r="G266" s="5"/>
      <c r="H266" s="19" t="s">
        <v>751</v>
      </c>
      <c r="I266" s="19" t="s">
        <v>765</v>
      </c>
      <c r="J266" s="19" t="s">
        <v>770</v>
      </c>
      <c r="K266" s="18">
        <v>621765620.39999998</v>
      </c>
      <c r="L266" s="20" t="s">
        <v>1031</v>
      </c>
      <c r="M266" s="9">
        <f t="shared" si="4"/>
        <v>733683432.07999992</v>
      </c>
      <c r="N266" s="19" t="s">
        <v>28</v>
      </c>
    </row>
    <row r="267" spans="1:14">
      <c r="A267" s="17" t="s">
        <v>54</v>
      </c>
      <c r="B267" s="18">
        <v>3949</v>
      </c>
      <c r="C267" s="19" t="s">
        <v>155</v>
      </c>
      <c r="D267" s="18">
        <v>9840</v>
      </c>
      <c r="E267" s="19" t="s">
        <v>459</v>
      </c>
      <c r="F267" s="19" t="s">
        <v>718</v>
      </c>
      <c r="G267" s="5"/>
      <c r="H267" s="19" t="s">
        <v>764</v>
      </c>
      <c r="I267" s="19" t="s">
        <v>769</v>
      </c>
      <c r="J267" s="19" t="s">
        <v>770</v>
      </c>
      <c r="K267" s="18">
        <v>1130495690.6800001</v>
      </c>
      <c r="L267" s="20" t="s">
        <v>1032</v>
      </c>
      <c r="M267" s="9">
        <f t="shared" si="4"/>
        <v>1333984915</v>
      </c>
      <c r="N267" s="19" t="s">
        <v>30</v>
      </c>
    </row>
    <row r="268" spans="1:14">
      <c r="A268" s="17" t="s">
        <v>54</v>
      </c>
      <c r="B268" s="18">
        <v>4704</v>
      </c>
      <c r="C268" s="19" t="s">
        <v>156</v>
      </c>
      <c r="D268" s="18">
        <v>10574</v>
      </c>
      <c r="E268" s="19" t="s">
        <v>460</v>
      </c>
      <c r="F268" s="19" t="s">
        <v>568</v>
      </c>
      <c r="G268" s="5"/>
      <c r="H268" s="19" t="s">
        <v>759</v>
      </c>
      <c r="I268" s="19" t="s">
        <v>34</v>
      </c>
      <c r="J268" s="19" t="s">
        <v>770</v>
      </c>
      <c r="K268" s="18">
        <v>171380</v>
      </c>
      <c r="L268" s="20" t="s">
        <v>1033</v>
      </c>
      <c r="M268" s="9">
        <f t="shared" si="4"/>
        <v>214362.1</v>
      </c>
      <c r="N268" s="19" t="s">
        <v>41</v>
      </c>
    </row>
    <row r="269" spans="1:14">
      <c r="A269" s="17" t="s">
        <v>54</v>
      </c>
      <c r="B269" s="18">
        <v>18198</v>
      </c>
      <c r="C269" s="19" t="s">
        <v>157</v>
      </c>
      <c r="D269" s="18">
        <v>10398</v>
      </c>
      <c r="E269" s="19" t="s">
        <v>461</v>
      </c>
      <c r="F269" s="19" t="s">
        <v>638</v>
      </c>
      <c r="G269" s="5"/>
      <c r="H269" s="19" t="s">
        <v>757</v>
      </c>
      <c r="I269" s="19" t="s">
        <v>767</v>
      </c>
      <c r="J269" s="19" t="s">
        <v>770</v>
      </c>
      <c r="K269" s="18">
        <v>44800</v>
      </c>
      <c r="L269" s="20" t="s">
        <v>1034</v>
      </c>
      <c r="M269" s="9">
        <f t="shared" si="4"/>
        <v>52864</v>
      </c>
      <c r="N269" s="19" t="s">
        <v>29</v>
      </c>
    </row>
    <row r="270" spans="1:14">
      <c r="A270" s="17" t="s">
        <v>54</v>
      </c>
      <c r="B270" s="18">
        <v>25533</v>
      </c>
      <c r="C270" s="19" t="s">
        <v>158</v>
      </c>
      <c r="D270" s="18">
        <v>10174</v>
      </c>
      <c r="E270" s="19" t="s">
        <v>462</v>
      </c>
      <c r="F270" s="19" t="s">
        <v>654</v>
      </c>
      <c r="G270" s="5"/>
      <c r="H270" s="19" t="s">
        <v>753</v>
      </c>
      <c r="I270" s="19" t="s">
        <v>34</v>
      </c>
      <c r="J270" s="19" t="s">
        <v>770</v>
      </c>
      <c r="K270" s="18">
        <v>2284496</v>
      </c>
      <c r="L270" s="20" t="s">
        <v>1035</v>
      </c>
      <c r="M270" s="9">
        <f t="shared" si="4"/>
        <v>2760605.2800000003</v>
      </c>
      <c r="N270" s="19" t="s">
        <v>29</v>
      </c>
    </row>
    <row r="271" spans="1:14">
      <c r="A271" s="17" t="s">
        <v>54</v>
      </c>
      <c r="B271" s="18">
        <v>1477</v>
      </c>
      <c r="C271" s="19" t="s">
        <v>159</v>
      </c>
      <c r="D271" s="18">
        <v>10280</v>
      </c>
      <c r="E271" s="19" t="s">
        <v>463</v>
      </c>
      <c r="F271" s="19" t="s">
        <v>666</v>
      </c>
      <c r="G271" s="5"/>
      <c r="H271" s="19" t="s">
        <v>756</v>
      </c>
      <c r="I271" s="19" t="s">
        <v>767</v>
      </c>
      <c r="J271" s="19" t="s">
        <v>770</v>
      </c>
      <c r="K271" s="18">
        <v>2950000</v>
      </c>
      <c r="L271" s="20" t="s">
        <v>1036</v>
      </c>
      <c r="M271" s="9">
        <f t="shared" si="4"/>
        <v>3481000</v>
      </c>
      <c r="N271" s="19" t="s">
        <v>29</v>
      </c>
    </row>
    <row r="272" spans="1:14">
      <c r="A272" s="17" t="s">
        <v>54</v>
      </c>
      <c r="B272" s="18">
        <v>28746</v>
      </c>
      <c r="C272" s="19" t="s">
        <v>47</v>
      </c>
      <c r="D272" s="18">
        <v>10555</v>
      </c>
      <c r="E272" s="19" t="s">
        <v>437</v>
      </c>
      <c r="F272" s="19" t="s">
        <v>601</v>
      </c>
      <c r="G272" s="5"/>
      <c r="H272" s="19" t="s">
        <v>759</v>
      </c>
      <c r="I272" s="19" t="s">
        <v>34</v>
      </c>
      <c r="J272" s="19" t="s">
        <v>770</v>
      </c>
      <c r="K272" s="18">
        <v>61715</v>
      </c>
      <c r="L272" s="20" t="s">
        <v>1037</v>
      </c>
      <c r="M272" s="9">
        <f t="shared" si="4"/>
        <v>72823.7</v>
      </c>
      <c r="N272" s="19" t="s">
        <v>29</v>
      </c>
    </row>
    <row r="273" spans="1:14">
      <c r="A273" s="17" t="s">
        <v>54</v>
      </c>
      <c r="B273" s="18">
        <v>23103</v>
      </c>
      <c r="C273" s="19" t="s">
        <v>160</v>
      </c>
      <c r="D273" s="18">
        <v>10580</v>
      </c>
      <c r="E273" s="19" t="s">
        <v>464</v>
      </c>
      <c r="F273" s="19" t="s">
        <v>719</v>
      </c>
      <c r="G273" s="5"/>
      <c r="H273" s="19" t="s">
        <v>759</v>
      </c>
      <c r="I273" s="19" t="s">
        <v>34</v>
      </c>
      <c r="J273" s="19" t="s">
        <v>770</v>
      </c>
      <c r="K273" s="18">
        <v>27405</v>
      </c>
      <c r="L273" s="20" t="s">
        <v>1038</v>
      </c>
      <c r="M273" s="9">
        <f t="shared" si="4"/>
        <v>34697.9</v>
      </c>
      <c r="N273" s="19" t="s">
        <v>29</v>
      </c>
    </row>
    <row r="274" spans="1:14">
      <c r="A274" s="17" t="s">
        <v>54</v>
      </c>
      <c r="B274" s="18">
        <v>28978</v>
      </c>
      <c r="C274" s="19" t="s">
        <v>161</v>
      </c>
      <c r="D274" s="18">
        <v>10295</v>
      </c>
      <c r="E274" s="19" t="s">
        <v>465</v>
      </c>
      <c r="F274" s="19" t="s">
        <v>720</v>
      </c>
      <c r="G274" s="5"/>
      <c r="H274" s="19" t="s">
        <v>754</v>
      </c>
      <c r="I274" s="19" t="s">
        <v>34</v>
      </c>
      <c r="J274" s="19" t="s">
        <v>770</v>
      </c>
      <c r="K274" s="18">
        <v>2712416</v>
      </c>
      <c r="L274" s="20" t="s">
        <v>1039</v>
      </c>
      <c r="M274" s="9">
        <f t="shared" si="4"/>
        <v>3471892.48</v>
      </c>
      <c r="N274" s="19" t="s">
        <v>29</v>
      </c>
    </row>
    <row r="275" spans="1:14">
      <c r="A275" s="17" t="s">
        <v>54</v>
      </c>
      <c r="B275" s="18">
        <v>19378</v>
      </c>
      <c r="C275" s="19" t="s">
        <v>162</v>
      </c>
      <c r="D275" s="18">
        <v>10411</v>
      </c>
      <c r="E275" s="19" t="s">
        <v>466</v>
      </c>
      <c r="F275" s="19" t="s">
        <v>675</v>
      </c>
      <c r="G275" s="5"/>
      <c r="H275" s="19" t="s">
        <v>762</v>
      </c>
      <c r="I275" s="19" t="s">
        <v>34</v>
      </c>
      <c r="J275" s="19" t="s">
        <v>770</v>
      </c>
      <c r="K275" s="18">
        <v>140340</v>
      </c>
      <c r="L275" s="20" t="s">
        <v>1040</v>
      </c>
      <c r="M275" s="9">
        <f t="shared" si="4"/>
        <v>176502.28</v>
      </c>
      <c r="N275" s="19" t="s">
        <v>29</v>
      </c>
    </row>
    <row r="276" spans="1:14">
      <c r="A276" s="17" t="s">
        <v>54</v>
      </c>
      <c r="B276" s="18">
        <v>29132</v>
      </c>
      <c r="C276" s="19" t="s">
        <v>163</v>
      </c>
      <c r="D276" s="18">
        <v>10557</v>
      </c>
      <c r="E276" s="19" t="s">
        <v>303</v>
      </c>
      <c r="F276" s="19" t="s">
        <v>601</v>
      </c>
      <c r="G276" s="5"/>
      <c r="H276" s="19" t="s">
        <v>762</v>
      </c>
      <c r="I276" s="19" t="s">
        <v>34</v>
      </c>
      <c r="J276" s="19" t="s">
        <v>770</v>
      </c>
      <c r="K276" s="18">
        <v>34692</v>
      </c>
      <c r="L276" s="20" t="s">
        <v>1041</v>
      </c>
      <c r="M276" s="9">
        <f t="shared" si="4"/>
        <v>40936.559999999998</v>
      </c>
      <c r="N276" s="19" t="s">
        <v>29</v>
      </c>
    </row>
    <row r="277" spans="1:14">
      <c r="A277" s="17" t="s">
        <v>54</v>
      </c>
      <c r="B277" s="18">
        <v>29050</v>
      </c>
      <c r="C277" s="19" t="s">
        <v>164</v>
      </c>
      <c r="D277" s="18">
        <v>10405</v>
      </c>
      <c r="E277" s="19" t="s">
        <v>461</v>
      </c>
      <c r="F277" s="19" t="s">
        <v>721</v>
      </c>
      <c r="G277" s="5"/>
      <c r="H277" s="19" t="s">
        <v>757</v>
      </c>
      <c r="I277" s="19" t="s">
        <v>767</v>
      </c>
      <c r="J277" s="19" t="s">
        <v>770</v>
      </c>
      <c r="K277" s="18">
        <v>276400</v>
      </c>
      <c r="L277" s="20" t="s">
        <v>1042</v>
      </c>
      <c r="M277" s="9">
        <f t="shared" si="4"/>
        <v>326152</v>
      </c>
      <c r="N277" s="19" t="s">
        <v>29</v>
      </c>
    </row>
    <row r="278" spans="1:14">
      <c r="A278" s="17" t="s">
        <v>54</v>
      </c>
      <c r="B278" s="18">
        <v>4672</v>
      </c>
      <c r="C278" s="19" t="s">
        <v>165</v>
      </c>
      <c r="D278" s="18">
        <v>10542</v>
      </c>
      <c r="E278" s="19" t="s">
        <v>467</v>
      </c>
      <c r="F278" s="19" t="s">
        <v>628</v>
      </c>
      <c r="G278" s="5"/>
      <c r="H278" s="19" t="s">
        <v>756</v>
      </c>
      <c r="I278" s="19" t="s">
        <v>767</v>
      </c>
      <c r="J278" s="19" t="s">
        <v>770</v>
      </c>
      <c r="K278" s="18">
        <v>31200</v>
      </c>
      <c r="L278" s="20" t="s">
        <v>1043</v>
      </c>
      <c r="M278" s="9">
        <f t="shared" si="4"/>
        <v>36816</v>
      </c>
      <c r="N278" s="19" t="s">
        <v>29</v>
      </c>
    </row>
    <row r="279" spans="1:14">
      <c r="A279" s="17" t="s">
        <v>54</v>
      </c>
      <c r="B279" s="18">
        <v>4672</v>
      </c>
      <c r="C279" s="19" t="s">
        <v>165</v>
      </c>
      <c r="D279" s="18">
        <v>10245</v>
      </c>
      <c r="E279" s="19" t="s">
        <v>368</v>
      </c>
      <c r="F279" s="19" t="s">
        <v>545</v>
      </c>
      <c r="G279" s="12"/>
      <c r="H279" s="19" t="s">
        <v>756</v>
      </c>
      <c r="I279" s="19" t="s">
        <v>767</v>
      </c>
      <c r="J279" s="19" t="s">
        <v>770</v>
      </c>
      <c r="K279" s="18">
        <v>10200</v>
      </c>
      <c r="L279" s="20" t="s">
        <v>1044</v>
      </c>
      <c r="M279" s="9">
        <f t="shared" si="4"/>
        <v>12036</v>
      </c>
      <c r="N279" s="19" t="s">
        <v>29</v>
      </c>
    </row>
    <row r="280" spans="1:14">
      <c r="A280" s="17" t="s">
        <v>54</v>
      </c>
      <c r="B280" s="18">
        <v>1563</v>
      </c>
      <c r="C280" s="19" t="s">
        <v>166</v>
      </c>
      <c r="D280" s="18">
        <v>10548</v>
      </c>
      <c r="E280" s="19" t="s">
        <v>468</v>
      </c>
      <c r="F280" s="19" t="s">
        <v>658</v>
      </c>
      <c r="G280" s="5"/>
      <c r="H280" s="19" t="s">
        <v>763</v>
      </c>
      <c r="I280" s="19" t="s">
        <v>34</v>
      </c>
      <c r="J280" s="19" t="s">
        <v>770</v>
      </c>
      <c r="K280" s="18">
        <v>75050</v>
      </c>
      <c r="L280" s="20" t="s">
        <v>37</v>
      </c>
      <c r="M280" s="9">
        <f t="shared" si="4"/>
        <v>88559</v>
      </c>
      <c r="N280" s="19" t="s">
        <v>41</v>
      </c>
    </row>
    <row r="281" spans="1:14">
      <c r="A281" s="17" t="s">
        <v>54</v>
      </c>
      <c r="B281" s="18">
        <v>1563</v>
      </c>
      <c r="C281" s="19" t="s">
        <v>166</v>
      </c>
      <c r="D281" s="18">
        <v>10442</v>
      </c>
      <c r="E281" s="19" t="s">
        <v>469</v>
      </c>
      <c r="F281" s="19" t="s">
        <v>722</v>
      </c>
      <c r="G281" s="5"/>
      <c r="H281" s="19" t="s">
        <v>759</v>
      </c>
      <c r="I281" s="19" t="s">
        <v>34</v>
      </c>
      <c r="J281" s="19" t="s">
        <v>770</v>
      </c>
      <c r="K281" s="18">
        <v>58000</v>
      </c>
      <c r="L281" s="20" t="s">
        <v>1045</v>
      </c>
      <c r="M281" s="9">
        <f t="shared" si="4"/>
        <v>68440</v>
      </c>
      <c r="N281" s="19" t="s">
        <v>41</v>
      </c>
    </row>
    <row r="282" spans="1:14">
      <c r="A282" s="17" t="s">
        <v>54</v>
      </c>
      <c r="B282" s="18">
        <v>2345</v>
      </c>
      <c r="C282" s="19" t="s">
        <v>167</v>
      </c>
      <c r="D282" s="18">
        <v>10102</v>
      </c>
      <c r="E282" s="19" t="s">
        <v>470</v>
      </c>
      <c r="F282" s="19" t="s">
        <v>679</v>
      </c>
      <c r="G282" s="5"/>
      <c r="H282" s="19" t="s">
        <v>757</v>
      </c>
      <c r="I282" s="19" t="s">
        <v>767</v>
      </c>
      <c r="J282" s="19" t="s">
        <v>770</v>
      </c>
      <c r="K282" s="18">
        <v>371200</v>
      </c>
      <c r="L282" s="20" t="s">
        <v>1046</v>
      </c>
      <c r="M282" s="9">
        <f t="shared" si="4"/>
        <v>438016</v>
      </c>
      <c r="N282" s="19" t="s">
        <v>40</v>
      </c>
    </row>
    <row r="283" spans="1:14">
      <c r="A283" s="17" t="s">
        <v>54</v>
      </c>
      <c r="B283" s="18">
        <v>28399</v>
      </c>
      <c r="C283" s="19" t="s">
        <v>168</v>
      </c>
      <c r="D283" s="18">
        <v>10408</v>
      </c>
      <c r="E283" s="19" t="s">
        <v>370</v>
      </c>
      <c r="F283" s="19" t="s">
        <v>657</v>
      </c>
      <c r="G283" s="5"/>
      <c r="H283" s="19" t="s">
        <v>759</v>
      </c>
      <c r="I283" s="19" t="s">
        <v>34</v>
      </c>
      <c r="J283" s="19" t="s">
        <v>770</v>
      </c>
      <c r="K283" s="18">
        <v>374400</v>
      </c>
      <c r="L283" s="20" t="s">
        <v>1047</v>
      </c>
      <c r="M283" s="9">
        <f t="shared" si="4"/>
        <v>441792</v>
      </c>
      <c r="N283" s="19" t="s">
        <v>29</v>
      </c>
    </row>
    <row r="284" spans="1:14">
      <c r="A284" s="17" t="s">
        <v>54</v>
      </c>
      <c r="B284" s="18">
        <v>28246</v>
      </c>
      <c r="C284" s="19" t="s">
        <v>169</v>
      </c>
      <c r="D284" s="18">
        <v>10290</v>
      </c>
      <c r="E284" s="19" t="s">
        <v>323</v>
      </c>
      <c r="F284" s="19" t="s">
        <v>665</v>
      </c>
      <c r="G284" s="5"/>
      <c r="H284" s="19" t="s">
        <v>756</v>
      </c>
      <c r="I284" s="19" t="s">
        <v>767</v>
      </c>
      <c r="J284" s="19" t="s">
        <v>770</v>
      </c>
      <c r="K284" s="18">
        <v>8628</v>
      </c>
      <c r="L284" s="20" t="s">
        <v>1048</v>
      </c>
      <c r="M284" s="9">
        <f t="shared" si="4"/>
        <v>10181.040000000001</v>
      </c>
      <c r="N284" s="19" t="s">
        <v>29</v>
      </c>
    </row>
    <row r="285" spans="1:14">
      <c r="A285" s="17" t="s">
        <v>54</v>
      </c>
      <c r="B285" s="18">
        <v>28246</v>
      </c>
      <c r="C285" s="19" t="s">
        <v>169</v>
      </c>
      <c r="D285" s="18">
        <v>10459</v>
      </c>
      <c r="E285" s="19" t="s">
        <v>471</v>
      </c>
      <c r="F285" s="19" t="s">
        <v>674</v>
      </c>
      <c r="G285" s="5"/>
      <c r="H285" s="19" t="s">
        <v>763</v>
      </c>
      <c r="I285" s="19" t="s">
        <v>34</v>
      </c>
      <c r="J285" s="19" t="s">
        <v>770</v>
      </c>
      <c r="K285" s="18">
        <v>303854</v>
      </c>
      <c r="L285" s="20" t="s">
        <v>1049</v>
      </c>
      <c r="M285" s="9">
        <f t="shared" si="4"/>
        <v>358547.72</v>
      </c>
      <c r="N285" s="19" t="s">
        <v>29</v>
      </c>
    </row>
    <row r="286" spans="1:14">
      <c r="A286" s="17" t="s">
        <v>54</v>
      </c>
      <c r="B286" s="18">
        <v>28246</v>
      </c>
      <c r="C286" s="19" t="s">
        <v>169</v>
      </c>
      <c r="D286" s="18">
        <v>10510</v>
      </c>
      <c r="E286" s="19" t="s">
        <v>472</v>
      </c>
      <c r="F286" s="19" t="s">
        <v>723</v>
      </c>
      <c r="G286" s="5"/>
      <c r="H286" s="19" t="s">
        <v>759</v>
      </c>
      <c r="I286" s="19" t="s">
        <v>34</v>
      </c>
      <c r="J286" s="19" t="s">
        <v>770</v>
      </c>
      <c r="K286" s="18">
        <v>4810.8</v>
      </c>
      <c r="L286" s="20" t="s">
        <v>1050</v>
      </c>
      <c r="M286" s="9">
        <f t="shared" si="4"/>
        <v>5676.75</v>
      </c>
      <c r="N286" s="19" t="s">
        <v>29</v>
      </c>
    </row>
    <row r="287" spans="1:14">
      <c r="A287" s="17" t="s">
        <v>54</v>
      </c>
      <c r="B287" s="18">
        <v>3193</v>
      </c>
      <c r="C287" s="19" t="s">
        <v>170</v>
      </c>
      <c r="D287" s="18">
        <v>10489</v>
      </c>
      <c r="E287" s="19" t="s">
        <v>473</v>
      </c>
      <c r="F287" s="19" t="s">
        <v>577</v>
      </c>
      <c r="G287" s="5"/>
      <c r="H287" s="19" t="s">
        <v>756</v>
      </c>
      <c r="I287" s="19" t="s">
        <v>767</v>
      </c>
      <c r="J287" s="19" t="s">
        <v>770</v>
      </c>
      <c r="K287" s="18">
        <v>2280000</v>
      </c>
      <c r="L287" s="20" t="s">
        <v>1051</v>
      </c>
      <c r="M287" s="9">
        <f t="shared" si="4"/>
        <v>2690400</v>
      </c>
      <c r="N287" s="19" t="s">
        <v>29</v>
      </c>
    </row>
    <row r="288" spans="1:14">
      <c r="A288" s="17" t="s">
        <v>54</v>
      </c>
      <c r="B288" s="18">
        <v>29051</v>
      </c>
      <c r="C288" s="19" t="s">
        <v>171</v>
      </c>
      <c r="D288" s="18">
        <v>10392</v>
      </c>
      <c r="E288" s="19" t="s">
        <v>461</v>
      </c>
      <c r="F288" s="19" t="s">
        <v>678</v>
      </c>
      <c r="G288" s="5"/>
      <c r="H288" s="19" t="s">
        <v>757</v>
      </c>
      <c r="I288" s="19" t="s">
        <v>767</v>
      </c>
      <c r="J288" s="19" t="s">
        <v>770</v>
      </c>
      <c r="K288" s="18">
        <v>64432</v>
      </c>
      <c r="L288" s="20" t="s">
        <v>1052</v>
      </c>
      <c r="M288" s="9">
        <f t="shared" si="4"/>
        <v>76029.759999999995</v>
      </c>
      <c r="N288" s="19" t="s">
        <v>29</v>
      </c>
    </row>
    <row r="289" spans="1:14">
      <c r="A289" s="17" t="s">
        <v>54</v>
      </c>
      <c r="B289" s="18">
        <v>29048</v>
      </c>
      <c r="C289" s="19" t="s">
        <v>172</v>
      </c>
      <c r="D289" s="18">
        <v>10388</v>
      </c>
      <c r="E289" s="19" t="s">
        <v>474</v>
      </c>
      <c r="F289" s="19" t="s">
        <v>634</v>
      </c>
      <c r="G289" s="5"/>
      <c r="H289" s="19" t="s">
        <v>762</v>
      </c>
      <c r="I289" s="19" t="s">
        <v>34</v>
      </c>
      <c r="J289" s="19" t="s">
        <v>770</v>
      </c>
      <c r="K289" s="18">
        <v>315000</v>
      </c>
      <c r="L289" s="20" t="s">
        <v>1053</v>
      </c>
      <c r="M289" s="9">
        <f t="shared" si="4"/>
        <v>371700</v>
      </c>
      <c r="N289" s="19" t="s">
        <v>29</v>
      </c>
    </row>
    <row r="290" spans="1:14">
      <c r="A290" s="17" t="s">
        <v>54</v>
      </c>
      <c r="B290" s="18">
        <v>28273</v>
      </c>
      <c r="C290" s="19" t="s">
        <v>173</v>
      </c>
      <c r="D290" s="18">
        <v>10196</v>
      </c>
      <c r="E290" s="19" t="s">
        <v>475</v>
      </c>
      <c r="F290" s="19" t="s">
        <v>598</v>
      </c>
      <c r="G290" s="5"/>
      <c r="H290" s="19" t="s">
        <v>757</v>
      </c>
      <c r="I290" s="19" t="s">
        <v>767</v>
      </c>
      <c r="J290" s="19" t="s">
        <v>770</v>
      </c>
      <c r="K290" s="18">
        <v>21000</v>
      </c>
      <c r="L290" s="20" t="s">
        <v>1054</v>
      </c>
      <c r="M290" s="9">
        <f t="shared" si="4"/>
        <v>24780</v>
      </c>
      <c r="N290" s="19" t="s">
        <v>29</v>
      </c>
    </row>
    <row r="291" spans="1:14">
      <c r="A291" s="17" t="s">
        <v>54</v>
      </c>
      <c r="B291" s="18">
        <v>29110</v>
      </c>
      <c r="C291" s="19" t="s">
        <v>174</v>
      </c>
      <c r="D291" s="18">
        <v>10582</v>
      </c>
      <c r="E291" s="19" t="s">
        <v>476</v>
      </c>
      <c r="F291" s="19" t="s">
        <v>662</v>
      </c>
      <c r="G291" s="5"/>
      <c r="H291" s="19" t="s">
        <v>759</v>
      </c>
      <c r="I291" s="19" t="s">
        <v>34</v>
      </c>
      <c r="J291" s="19" t="s">
        <v>770</v>
      </c>
      <c r="K291" s="18">
        <v>24000</v>
      </c>
      <c r="L291" s="20" t="s">
        <v>1055</v>
      </c>
      <c r="M291" s="9">
        <f t="shared" si="4"/>
        <v>31888.32</v>
      </c>
      <c r="N291" s="19" t="s">
        <v>29</v>
      </c>
    </row>
    <row r="292" spans="1:14">
      <c r="A292" s="17" t="s">
        <v>54</v>
      </c>
      <c r="B292" s="18">
        <v>158</v>
      </c>
      <c r="C292" s="19" t="s">
        <v>175</v>
      </c>
      <c r="D292" s="18">
        <v>10498</v>
      </c>
      <c r="E292" s="19" t="s">
        <v>477</v>
      </c>
      <c r="F292" s="19" t="s">
        <v>724</v>
      </c>
      <c r="G292" s="5"/>
      <c r="H292" s="19" t="s">
        <v>754</v>
      </c>
      <c r="I292" s="19" t="s">
        <v>34</v>
      </c>
      <c r="J292" s="19" t="s">
        <v>770</v>
      </c>
      <c r="K292" s="18">
        <v>1129148.8</v>
      </c>
      <c r="L292" s="20" t="s">
        <v>1056</v>
      </c>
      <c r="M292" s="9">
        <f t="shared" si="4"/>
        <v>1332395.58</v>
      </c>
      <c r="N292" s="19" t="s">
        <v>39</v>
      </c>
    </row>
    <row r="293" spans="1:14">
      <c r="A293" s="17" t="s">
        <v>54</v>
      </c>
      <c r="B293" s="18">
        <v>158</v>
      </c>
      <c r="C293" s="19" t="s">
        <v>175</v>
      </c>
      <c r="D293" s="18">
        <v>10370</v>
      </c>
      <c r="E293" s="19" t="s">
        <v>478</v>
      </c>
      <c r="F293" s="19" t="s">
        <v>548</v>
      </c>
      <c r="G293" s="5"/>
      <c r="H293" s="19" t="s">
        <v>754</v>
      </c>
      <c r="I293" s="19" t="s">
        <v>34</v>
      </c>
      <c r="J293" s="19" t="s">
        <v>770</v>
      </c>
      <c r="K293" s="18">
        <v>1947078</v>
      </c>
      <c r="L293" s="20" t="s">
        <v>1057</v>
      </c>
      <c r="M293" s="9">
        <f t="shared" si="4"/>
        <v>2297552.04</v>
      </c>
      <c r="N293" s="19" t="s">
        <v>39</v>
      </c>
    </row>
    <row r="294" spans="1:14">
      <c r="A294" s="17" t="s">
        <v>54</v>
      </c>
      <c r="B294" s="18">
        <v>158</v>
      </c>
      <c r="C294" s="19" t="s">
        <v>175</v>
      </c>
      <c r="D294" s="18">
        <v>10563</v>
      </c>
      <c r="E294" s="19" t="s">
        <v>479</v>
      </c>
      <c r="F294" s="19" t="s">
        <v>725</v>
      </c>
      <c r="G294" s="5"/>
      <c r="H294" s="19" t="s">
        <v>754</v>
      </c>
      <c r="I294" s="19" t="s">
        <v>34</v>
      </c>
      <c r="J294" s="19" t="s">
        <v>770</v>
      </c>
      <c r="K294" s="18">
        <v>3244130</v>
      </c>
      <c r="L294" s="20" t="s">
        <v>1058</v>
      </c>
      <c r="M294" s="9">
        <f t="shared" si="4"/>
        <v>3828073.4</v>
      </c>
      <c r="N294" s="19" t="s">
        <v>39</v>
      </c>
    </row>
    <row r="295" spans="1:14">
      <c r="A295" s="17" t="s">
        <v>54</v>
      </c>
      <c r="B295" s="18">
        <v>15553</v>
      </c>
      <c r="C295" s="19" t="s">
        <v>43</v>
      </c>
      <c r="D295" s="18">
        <v>10212</v>
      </c>
      <c r="E295" s="19" t="s">
        <v>480</v>
      </c>
      <c r="F295" s="19" t="s">
        <v>726</v>
      </c>
      <c r="G295" s="5"/>
      <c r="H295" s="19" t="s">
        <v>756</v>
      </c>
      <c r="I295" s="19" t="s">
        <v>767</v>
      </c>
      <c r="J295" s="19" t="s">
        <v>770</v>
      </c>
      <c r="K295" s="18">
        <v>1950000</v>
      </c>
      <c r="L295" s="20" t="s">
        <v>1059</v>
      </c>
      <c r="M295" s="9">
        <f t="shared" si="4"/>
        <v>2301000</v>
      </c>
      <c r="N295" s="19" t="s">
        <v>29</v>
      </c>
    </row>
    <row r="296" spans="1:14">
      <c r="A296" s="17" t="s">
        <v>54</v>
      </c>
      <c r="B296" s="18">
        <v>15553</v>
      </c>
      <c r="C296" s="19" t="s">
        <v>43</v>
      </c>
      <c r="D296" s="18">
        <v>10424</v>
      </c>
      <c r="E296" s="19" t="s">
        <v>457</v>
      </c>
      <c r="F296" s="19" t="s">
        <v>646</v>
      </c>
      <c r="G296" s="5"/>
      <c r="H296" s="19" t="s">
        <v>756</v>
      </c>
      <c r="I296" s="19" t="s">
        <v>767</v>
      </c>
      <c r="J296" s="19" t="s">
        <v>770</v>
      </c>
      <c r="K296" s="18">
        <v>75000</v>
      </c>
      <c r="L296" s="20" t="s">
        <v>1060</v>
      </c>
      <c r="M296" s="9">
        <f t="shared" si="4"/>
        <v>88500</v>
      </c>
      <c r="N296" s="19" t="s">
        <v>29</v>
      </c>
    </row>
    <row r="297" spans="1:14">
      <c r="A297" s="17" t="s">
        <v>54</v>
      </c>
      <c r="B297" s="18">
        <v>28140</v>
      </c>
      <c r="C297" s="19" t="s">
        <v>176</v>
      </c>
      <c r="D297" s="18">
        <v>10403</v>
      </c>
      <c r="E297" s="19" t="s">
        <v>481</v>
      </c>
      <c r="F297" s="19" t="s">
        <v>727</v>
      </c>
      <c r="G297" s="5"/>
      <c r="H297" s="19" t="s">
        <v>759</v>
      </c>
      <c r="I297" s="19" t="s">
        <v>34</v>
      </c>
      <c r="J297" s="19" t="s">
        <v>770</v>
      </c>
      <c r="K297" s="18">
        <v>144000</v>
      </c>
      <c r="L297" s="20" t="s">
        <v>1061</v>
      </c>
      <c r="M297" s="9">
        <f t="shared" si="4"/>
        <v>169920</v>
      </c>
      <c r="N297" s="19" t="s">
        <v>29</v>
      </c>
    </row>
    <row r="298" spans="1:14">
      <c r="A298" s="17" t="s">
        <v>54</v>
      </c>
      <c r="B298" s="18">
        <v>27361</v>
      </c>
      <c r="C298" s="19" t="s">
        <v>44</v>
      </c>
      <c r="D298" s="18">
        <v>9909</v>
      </c>
      <c r="E298" s="19" t="s">
        <v>482</v>
      </c>
      <c r="F298" s="19" t="s">
        <v>728</v>
      </c>
      <c r="G298" s="5"/>
      <c r="H298" s="19" t="s">
        <v>758</v>
      </c>
      <c r="I298" s="19" t="s">
        <v>768</v>
      </c>
      <c r="J298" s="19" t="s">
        <v>771</v>
      </c>
      <c r="K298" s="18">
        <v>31892918.351</v>
      </c>
      <c r="L298" s="20" t="s">
        <v>1062</v>
      </c>
      <c r="M298" s="9">
        <f t="shared" si="4"/>
        <v>37633643.651000001</v>
      </c>
      <c r="N298" s="19" t="s">
        <v>38</v>
      </c>
    </row>
    <row r="299" spans="1:14">
      <c r="A299" s="17" t="s">
        <v>54</v>
      </c>
      <c r="B299" s="18">
        <v>3455</v>
      </c>
      <c r="C299" s="19" t="s">
        <v>177</v>
      </c>
      <c r="D299" s="18">
        <v>10566</v>
      </c>
      <c r="E299" s="19" t="s">
        <v>483</v>
      </c>
      <c r="F299" s="19" t="s">
        <v>707</v>
      </c>
      <c r="G299" s="5"/>
      <c r="H299" s="19" t="s">
        <v>756</v>
      </c>
      <c r="I299" s="19" t="s">
        <v>767</v>
      </c>
      <c r="J299" s="19" t="s">
        <v>770</v>
      </c>
      <c r="K299" s="18">
        <v>182707.8</v>
      </c>
      <c r="L299" s="20" t="s">
        <v>1063</v>
      </c>
      <c r="M299" s="9">
        <f t="shared" si="4"/>
        <v>215595.21</v>
      </c>
      <c r="N299" s="19" t="s">
        <v>29</v>
      </c>
    </row>
    <row r="300" spans="1:14">
      <c r="A300" s="17" t="s">
        <v>54</v>
      </c>
      <c r="B300" s="18">
        <v>3455</v>
      </c>
      <c r="C300" s="19" t="s">
        <v>177</v>
      </c>
      <c r="D300" s="18">
        <v>10246</v>
      </c>
      <c r="E300" s="19" t="s">
        <v>368</v>
      </c>
      <c r="F300" s="19" t="s">
        <v>545</v>
      </c>
      <c r="G300" s="5"/>
      <c r="H300" s="19" t="s">
        <v>756</v>
      </c>
      <c r="I300" s="19" t="s">
        <v>767</v>
      </c>
      <c r="J300" s="19" t="s">
        <v>770</v>
      </c>
      <c r="K300" s="18">
        <v>26880</v>
      </c>
      <c r="L300" s="20" t="s">
        <v>1064</v>
      </c>
      <c r="M300" s="9">
        <f t="shared" si="4"/>
        <v>31718.400000000001</v>
      </c>
      <c r="N300" s="19" t="s">
        <v>29</v>
      </c>
    </row>
    <row r="301" spans="1:14">
      <c r="A301" s="17" t="s">
        <v>54</v>
      </c>
      <c r="B301" s="18">
        <v>3455</v>
      </c>
      <c r="C301" s="19" t="s">
        <v>177</v>
      </c>
      <c r="D301" s="18">
        <v>10543</v>
      </c>
      <c r="E301" s="19" t="s">
        <v>484</v>
      </c>
      <c r="F301" s="19" t="s">
        <v>658</v>
      </c>
      <c r="G301" s="5"/>
      <c r="H301" s="19" t="s">
        <v>763</v>
      </c>
      <c r="I301" s="19" t="s">
        <v>34</v>
      </c>
      <c r="J301" s="19" t="s">
        <v>770</v>
      </c>
      <c r="K301" s="18">
        <v>266536.8</v>
      </c>
      <c r="L301" s="20" t="s">
        <v>1065</v>
      </c>
      <c r="M301" s="9">
        <f t="shared" si="4"/>
        <v>314513.43</v>
      </c>
      <c r="N301" s="19" t="s">
        <v>29</v>
      </c>
    </row>
    <row r="302" spans="1:14">
      <c r="A302" s="17" t="s">
        <v>54</v>
      </c>
      <c r="B302" s="18">
        <v>28901</v>
      </c>
      <c r="C302" s="19" t="s">
        <v>178</v>
      </c>
      <c r="D302" s="18">
        <v>10462</v>
      </c>
      <c r="E302" s="19" t="s">
        <v>485</v>
      </c>
      <c r="F302" s="19" t="s">
        <v>729</v>
      </c>
      <c r="G302" s="5"/>
      <c r="H302" s="19" t="s">
        <v>762</v>
      </c>
      <c r="I302" s="19" t="s">
        <v>34</v>
      </c>
      <c r="J302" s="19" t="s">
        <v>770</v>
      </c>
      <c r="K302" s="18">
        <v>29160</v>
      </c>
      <c r="L302" s="20" t="s">
        <v>1066</v>
      </c>
      <c r="M302" s="9">
        <f t="shared" si="4"/>
        <v>34408.800000000003</v>
      </c>
      <c r="N302" s="19" t="s">
        <v>29</v>
      </c>
    </row>
    <row r="303" spans="1:14">
      <c r="A303" s="17" t="s">
        <v>54</v>
      </c>
      <c r="B303" s="18">
        <v>28984</v>
      </c>
      <c r="C303" s="19" t="s">
        <v>53</v>
      </c>
      <c r="D303" s="18">
        <v>10507</v>
      </c>
      <c r="E303" s="19" t="s">
        <v>472</v>
      </c>
      <c r="F303" s="19" t="s">
        <v>723</v>
      </c>
      <c r="G303" s="5"/>
      <c r="H303" s="19" t="s">
        <v>759</v>
      </c>
      <c r="I303" s="19" t="s">
        <v>34</v>
      </c>
      <c r="J303" s="19" t="s">
        <v>770</v>
      </c>
      <c r="K303" s="18">
        <v>7020</v>
      </c>
      <c r="L303" s="20" t="s">
        <v>1067</v>
      </c>
      <c r="M303" s="9">
        <f t="shared" si="4"/>
        <v>8283.6</v>
      </c>
      <c r="N303" s="19" t="s">
        <v>29</v>
      </c>
    </row>
    <row r="304" spans="1:14">
      <c r="A304" s="17" t="s">
        <v>54</v>
      </c>
      <c r="B304" s="18">
        <v>28984</v>
      </c>
      <c r="C304" s="19" t="s">
        <v>53</v>
      </c>
      <c r="D304" s="18">
        <v>10568</v>
      </c>
      <c r="E304" s="19" t="s">
        <v>365</v>
      </c>
      <c r="F304" s="19" t="s">
        <v>648</v>
      </c>
      <c r="G304" s="5"/>
      <c r="H304" s="19" t="s">
        <v>759</v>
      </c>
      <c r="I304" s="19" t="s">
        <v>34</v>
      </c>
      <c r="J304" s="19" t="s">
        <v>770</v>
      </c>
      <c r="K304" s="18">
        <v>15720</v>
      </c>
      <c r="L304" s="20" t="s">
        <v>1068</v>
      </c>
      <c r="M304" s="9">
        <f t="shared" si="4"/>
        <v>18549.599999999999</v>
      </c>
      <c r="N304" s="19" t="s">
        <v>29</v>
      </c>
    </row>
    <row r="305" spans="1:14">
      <c r="A305" s="17" t="s">
        <v>54</v>
      </c>
      <c r="B305" s="18">
        <v>21936</v>
      </c>
      <c r="C305" s="19" t="s">
        <v>179</v>
      </c>
      <c r="D305" s="18">
        <v>10176</v>
      </c>
      <c r="E305" s="19" t="s">
        <v>486</v>
      </c>
      <c r="F305" s="19" t="s">
        <v>654</v>
      </c>
      <c r="G305" s="5"/>
      <c r="H305" s="19" t="s">
        <v>757</v>
      </c>
      <c r="I305" s="19" t="s">
        <v>767</v>
      </c>
      <c r="J305" s="19" t="s">
        <v>770</v>
      </c>
      <c r="K305" s="18">
        <v>813800</v>
      </c>
      <c r="L305" s="20" t="s">
        <v>1069</v>
      </c>
      <c r="M305" s="9">
        <f t="shared" si="4"/>
        <v>960284</v>
      </c>
      <c r="N305" s="19" t="s">
        <v>29</v>
      </c>
    </row>
    <row r="306" spans="1:14">
      <c r="A306" s="17" t="s">
        <v>54</v>
      </c>
      <c r="B306" s="18">
        <v>24009</v>
      </c>
      <c r="C306" s="19" t="s">
        <v>180</v>
      </c>
      <c r="D306" s="18">
        <v>10235</v>
      </c>
      <c r="E306" s="19" t="s">
        <v>487</v>
      </c>
      <c r="F306" s="19" t="s">
        <v>631</v>
      </c>
      <c r="G306" s="5"/>
      <c r="H306" s="19" t="s">
        <v>753</v>
      </c>
      <c r="I306" s="19" t="s">
        <v>34</v>
      </c>
      <c r="J306" s="19" t="s">
        <v>770</v>
      </c>
      <c r="K306" s="18">
        <v>974000</v>
      </c>
      <c r="L306" s="20" t="s">
        <v>1070</v>
      </c>
      <c r="M306" s="9">
        <f t="shared" si="4"/>
        <v>1149320</v>
      </c>
      <c r="N306" s="19" t="s">
        <v>29</v>
      </c>
    </row>
    <row r="307" spans="1:14">
      <c r="A307" s="17" t="s">
        <v>54</v>
      </c>
      <c r="B307" s="18">
        <v>29143</v>
      </c>
      <c r="C307" s="19" t="s">
        <v>181</v>
      </c>
      <c r="D307" s="18">
        <v>10514</v>
      </c>
      <c r="E307" s="19" t="s">
        <v>359</v>
      </c>
      <c r="F307" s="19" t="s">
        <v>730</v>
      </c>
      <c r="G307" s="5"/>
      <c r="H307" s="19" t="s">
        <v>759</v>
      </c>
      <c r="I307" s="19" t="s">
        <v>34</v>
      </c>
      <c r="J307" s="19" t="s">
        <v>770</v>
      </c>
      <c r="K307" s="18">
        <v>139700</v>
      </c>
      <c r="L307" s="20" t="s">
        <v>1071</v>
      </c>
      <c r="M307" s="9">
        <f t="shared" si="4"/>
        <v>164846</v>
      </c>
      <c r="N307" s="19" t="s">
        <v>29</v>
      </c>
    </row>
    <row r="308" spans="1:14">
      <c r="A308" s="17" t="s">
        <v>54</v>
      </c>
      <c r="B308" s="18">
        <v>21782</v>
      </c>
      <c r="C308" s="19" t="s">
        <v>182</v>
      </c>
      <c r="D308" s="18">
        <v>10461</v>
      </c>
      <c r="E308" s="19" t="s">
        <v>485</v>
      </c>
      <c r="F308" s="19" t="s">
        <v>729</v>
      </c>
      <c r="G308" s="5"/>
      <c r="H308" s="19" t="s">
        <v>762</v>
      </c>
      <c r="I308" s="19" t="s">
        <v>34</v>
      </c>
      <c r="J308" s="19" t="s">
        <v>770</v>
      </c>
      <c r="K308" s="18">
        <v>65780</v>
      </c>
      <c r="L308" s="20" t="s">
        <v>1072</v>
      </c>
      <c r="M308" s="9">
        <f t="shared" si="4"/>
        <v>77620.399999999994</v>
      </c>
      <c r="N308" s="19" t="s">
        <v>29</v>
      </c>
    </row>
    <row r="309" spans="1:14">
      <c r="A309" s="17" t="s">
        <v>54</v>
      </c>
      <c r="B309" s="18">
        <v>4745</v>
      </c>
      <c r="C309" s="19" t="s">
        <v>183</v>
      </c>
      <c r="D309" s="18">
        <v>10552</v>
      </c>
      <c r="E309" s="19" t="s">
        <v>488</v>
      </c>
      <c r="F309" s="19" t="s">
        <v>661</v>
      </c>
      <c r="G309" s="5"/>
      <c r="H309" s="19" t="s">
        <v>759</v>
      </c>
      <c r="I309" s="19" t="s">
        <v>34</v>
      </c>
      <c r="J309" s="19" t="s">
        <v>770</v>
      </c>
      <c r="K309" s="18">
        <v>132094</v>
      </c>
      <c r="L309" s="20" t="s">
        <v>1073</v>
      </c>
      <c r="M309" s="9">
        <f t="shared" si="4"/>
        <v>155870.91999999998</v>
      </c>
      <c r="N309" s="19" t="s">
        <v>29</v>
      </c>
    </row>
    <row r="310" spans="1:14">
      <c r="A310" s="17" t="s">
        <v>54</v>
      </c>
      <c r="B310" s="18">
        <v>2878</v>
      </c>
      <c r="C310" s="19" t="s">
        <v>184</v>
      </c>
      <c r="D310" s="18">
        <v>10211</v>
      </c>
      <c r="E310" s="19" t="s">
        <v>489</v>
      </c>
      <c r="F310" s="19" t="s">
        <v>573</v>
      </c>
      <c r="G310" s="5"/>
      <c r="H310" s="19" t="s">
        <v>755</v>
      </c>
      <c r="I310" s="19" t="s">
        <v>34</v>
      </c>
      <c r="J310" s="19" t="s">
        <v>770</v>
      </c>
      <c r="K310" s="18">
        <v>1721250</v>
      </c>
      <c r="L310" s="20" t="s">
        <v>1074</v>
      </c>
      <c r="M310" s="9">
        <f t="shared" si="4"/>
        <v>2031075</v>
      </c>
      <c r="N310" s="19" t="s">
        <v>28</v>
      </c>
    </row>
    <row r="311" spans="1:14">
      <c r="A311" s="17" t="s">
        <v>54</v>
      </c>
      <c r="B311" s="18">
        <v>25808</v>
      </c>
      <c r="C311" s="19" t="s">
        <v>185</v>
      </c>
      <c r="D311" s="18">
        <v>10201</v>
      </c>
      <c r="E311" s="19" t="s">
        <v>490</v>
      </c>
      <c r="F311" s="19" t="s">
        <v>731</v>
      </c>
      <c r="G311" s="5"/>
      <c r="H311" s="19" t="s">
        <v>756</v>
      </c>
      <c r="I311" s="19" t="s">
        <v>767</v>
      </c>
      <c r="J311" s="19" t="s">
        <v>770</v>
      </c>
      <c r="K311" s="18">
        <v>478990</v>
      </c>
      <c r="L311" s="20" t="s">
        <v>1075</v>
      </c>
      <c r="M311" s="9">
        <f t="shared" si="4"/>
        <v>536468.80000000005</v>
      </c>
      <c r="N311" s="19" t="s">
        <v>29</v>
      </c>
    </row>
    <row r="312" spans="1:14">
      <c r="A312" s="17" t="s">
        <v>54</v>
      </c>
      <c r="B312" s="18">
        <v>626</v>
      </c>
      <c r="C312" s="19" t="s">
        <v>186</v>
      </c>
      <c r="D312" s="18">
        <v>10349</v>
      </c>
      <c r="E312" s="19" t="s">
        <v>491</v>
      </c>
      <c r="F312" s="19" t="s">
        <v>732</v>
      </c>
      <c r="G312" s="5"/>
      <c r="H312" s="19" t="s">
        <v>756</v>
      </c>
      <c r="I312" s="19" t="s">
        <v>767</v>
      </c>
      <c r="J312" s="19" t="s">
        <v>770</v>
      </c>
      <c r="K312" s="18">
        <v>720000</v>
      </c>
      <c r="L312" s="20" t="s">
        <v>1076</v>
      </c>
      <c r="M312" s="9">
        <f t="shared" si="4"/>
        <v>849600</v>
      </c>
      <c r="N312" s="19" t="s">
        <v>41</v>
      </c>
    </row>
    <row r="313" spans="1:14">
      <c r="A313" s="17" t="s">
        <v>54</v>
      </c>
      <c r="B313" s="18">
        <v>626</v>
      </c>
      <c r="C313" s="19" t="s">
        <v>186</v>
      </c>
      <c r="D313" s="18">
        <v>10444</v>
      </c>
      <c r="E313" s="19" t="s">
        <v>492</v>
      </c>
      <c r="F313" s="19" t="s">
        <v>722</v>
      </c>
      <c r="G313" s="5"/>
      <c r="H313" s="19" t="s">
        <v>756</v>
      </c>
      <c r="I313" s="19" t="s">
        <v>767</v>
      </c>
      <c r="J313" s="19" t="s">
        <v>770</v>
      </c>
      <c r="K313" s="18">
        <v>7440000</v>
      </c>
      <c r="L313" s="20" t="s">
        <v>1077</v>
      </c>
      <c r="M313" s="9">
        <f t="shared" si="4"/>
        <v>8779200</v>
      </c>
      <c r="N313" s="19" t="s">
        <v>29</v>
      </c>
    </row>
    <row r="314" spans="1:14">
      <c r="A314" s="17" t="s">
        <v>54</v>
      </c>
      <c r="B314" s="18">
        <v>626</v>
      </c>
      <c r="C314" s="19" t="s">
        <v>186</v>
      </c>
      <c r="D314" s="18">
        <v>10597</v>
      </c>
      <c r="E314" s="19" t="s">
        <v>493</v>
      </c>
      <c r="F314" s="19" t="s">
        <v>653</v>
      </c>
      <c r="G314" s="5"/>
      <c r="H314" s="19" t="s">
        <v>756</v>
      </c>
      <c r="I314" s="19" t="s">
        <v>767</v>
      </c>
      <c r="J314" s="19" t="s">
        <v>770</v>
      </c>
      <c r="K314" s="18">
        <v>433210</v>
      </c>
      <c r="L314" s="20" t="s">
        <v>1078</v>
      </c>
      <c r="M314" s="9">
        <f t="shared" si="4"/>
        <v>511187.8</v>
      </c>
      <c r="N314" s="19" t="s">
        <v>41</v>
      </c>
    </row>
    <row r="315" spans="1:14">
      <c r="A315" s="17" t="s">
        <v>54</v>
      </c>
      <c r="B315" s="18">
        <v>626</v>
      </c>
      <c r="C315" s="19" t="s">
        <v>186</v>
      </c>
      <c r="D315" s="18">
        <v>10351</v>
      </c>
      <c r="E315" s="19" t="s">
        <v>494</v>
      </c>
      <c r="F315" s="19" t="s">
        <v>733</v>
      </c>
      <c r="G315" s="5"/>
      <c r="H315" s="19" t="s">
        <v>756</v>
      </c>
      <c r="I315" s="19" t="s">
        <v>767</v>
      </c>
      <c r="J315" s="19" t="s">
        <v>770</v>
      </c>
      <c r="K315" s="18">
        <v>830325</v>
      </c>
      <c r="L315" s="20" t="s">
        <v>1079</v>
      </c>
      <c r="M315" s="9">
        <f t="shared" si="4"/>
        <v>982071</v>
      </c>
      <c r="N315" s="19" t="s">
        <v>41</v>
      </c>
    </row>
    <row r="316" spans="1:14">
      <c r="A316" s="17" t="s">
        <v>54</v>
      </c>
      <c r="B316" s="18">
        <v>3256</v>
      </c>
      <c r="C316" s="19" t="s">
        <v>187</v>
      </c>
      <c r="D316" s="18">
        <v>10303</v>
      </c>
      <c r="E316" s="19" t="s">
        <v>495</v>
      </c>
      <c r="F316" s="19" t="s">
        <v>734</v>
      </c>
      <c r="G316" s="5"/>
      <c r="H316" s="19" t="s">
        <v>754</v>
      </c>
      <c r="I316" s="19" t="s">
        <v>34</v>
      </c>
      <c r="J316" s="19" t="s">
        <v>770</v>
      </c>
      <c r="K316" s="18">
        <v>50476</v>
      </c>
      <c r="L316" s="20" t="s">
        <v>1080</v>
      </c>
      <c r="M316" s="9">
        <f t="shared" si="4"/>
        <v>59561.68</v>
      </c>
      <c r="N316" s="19" t="s">
        <v>40</v>
      </c>
    </row>
    <row r="317" spans="1:14">
      <c r="A317" s="17" t="s">
        <v>54</v>
      </c>
      <c r="B317" s="18">
        <v>29117</v>
      </c>
      <c r="C317" s="19" t="s">
        <v>188</v>
      </c>
      <c r="D317" s="18">
        <v>10474</v>
      </c>
      <c r="E317" s="19" t="s">
        <v>496</v>
      </c>
      <c r="F317" s="19" t="s">
        <v>735</v>
      </c>
      <c r="G317" s="5"/>
      <c r="H317" s="19" t="s">
        <v>756</v>
      </c>
      <c r="I317" s="19" t="s">
        <v>767</v>
      </c>
      <c r="J317" s="19" t="s">
        <v>770</v>
      </c>
      <c r="K317" s="18">
        <v>134568</v>
      </c>
      <c r="L317" s="20" t="s">
        <v>1081</v>
      </c>
      <c r="M317" s="9">
        <f t="shared" si="4"/>
        <v>158790.24</v>
      </c>
      <c r="N317" s="19" t="s">
        <v>29</v>
      </c>
    </row>
    <row r="318" spans="1:14">
      <c r="A318" s="17" t="s">
        <v>54</v>
      </c>
      <c r="B318" s="18">
        <v>28342</v>
      </c>
      <c r="C318" s="19" t="s">
        <v>189</v>
      </c>
      <c r="D318" s="18">
        <v>10599</v>
      </c>
      <c r="E318" s="19" t="s">
        <v>497</v>
      </c>
      <c r="F318" s="19" t="s">
        <v>736</v>
      </c>
      <c r="G318" s="5"/>
      <c r="H318" s="19" t="s">
        <v>753</v>
      </c>
      <c r="I318" s="19" t="s">
        <v>34</v>
      </c>
      <c r="J318" s="19" t="s">
        <v>772</v>
      </c>
      <c r="K318" s="18">
        <v>3402000</v>
      </c>
      <c r="L318" s="20" t="s">
        <v>1082</v>
      </c>
      <c r="M318" s="9">
        <f t="shared" si="4"/>
        <v>4298445</v>
      </c>
      <c r="N318" s="19" t="s">
        <v>29</v>
      </c>
    </row>
    <row r="319" spans="1:14">
      <c r="A319" s="17" t="s">
        <v>54</v>
      </c>
      <c r="B319" s="18">
        <v>28450</v>
      </c>
      <c r="C319" s="19" t="s">
        <v>190</v>
      </c>
      <c r="D319" s="18">
        <v>10448</v>
      </c>
      <c r="E319" s="19" t="s">
        <v>498</v>
      </c>
      <c r="F319" s="19" t="s">
        <v>716</v>
      </c>
      <c r="G319" s="5"/>
      <c r="H319" s="19" t="s">
        <v>763</v>
      </c>
      <c r="I319" s="19" t="s">
        <v>34</v>
      </c>
      <c r="J319" s="19" t="s">
        <v>770</v>
      </c>
      <c r="K319" s="18">
        <v>88673</v>
      </c>
      <c r="L319" s="20" t="s">
        <v>1083</v>
      </c>
      <c r="M319" s="9">
        <f t="shared" si="4"/>
        <v>104634.14</v>
      </c>
      <c r="N319" s="19" t="s">
        <v>29</v>
      </c>
    </row>
    <row r="320" spans="1:14">
      <c r="A320" s="17" t="s">
        <v>54</v>
      </c>
      <c r="B320" s="18">
        <v>28047</v>
      </c>
      <c r="C320" s="19" t="s">
        <v>190</v>
      </c>
      <c r="D320" s="18">
        <v>10550</v>
      </c>
      <c r="E320" s="19" t="s">
        <v>499</v>
      </c>
      <c r="F320" s="19" t="s">
        <v>656</v>
      </c>
      <c r="G320" s="5"/>
      <c r="H320" s="19" t="s">
        <v>756</v>
      </c>
      <c r="I320" s="19" t="s">
        <v>767</v>
      </c>
      <c r="J320" s="19" t="s">
        <v>770</v>
      </c>
      <c r="K320" s="18">
        <v>351485</v>
      </c>
      <c r="L320" s="20" t="s">
        <v>1084</v>
      </c>
      <c r="M320" s="9">
        <f t="shared" si="4"/>
        <v>414752.3</v>
      </c>
      <c r="N320" s="19" t="s">
        <v>29</v>
      </c>
    </row>
    <row r="321" spans="1:14">
      <c r="A321" s="17" t="s">
        <v>54</v>
      </c>
      <c r="B321" s="18">
        <v>29210</v>
      </c>
      <c r="C321" s="19" t="s">
        <v>191</v>
      </c>
      <c r="D321" s="18">
        <v>10585</v>
      </c>
      <c r="E321" s="19" t="s">
        <v>500</v>
      </c>
      <c r="F321" s="19" t="s">
        <v>737</v>
      </c>
      <c r="G321" s="5"/>
      <c r="H321" s="19" t="s">
        <v>759</v>
      </c>
      <c r="I321" s="19" t="s">
        <v>34</v>
      </c>
      <c r="J321" s="19" t="s">
        <v>770</v>
      </c>
      <c r="K321" s="18">
        <v>92590</v>
      </c>
      <c r="L321" s="20" t="s">
        <v>1085</v>
      </c>
      <c r="M321" s="9">
        <f t="shared" si="4"/>
        <v>109256.2</v>
      </c>
      <c r="N321" s="19" t="s">
        <v>29</v>
      </c>
    </row>
    <row r="322" spans="1:14">
      <c r="A322" s="17" t="s">
        <v>54</v>
      </c>
      <c r="B322" s="18">
        <v>28263</v>
      </c>
      <c r="C322" s="19" t="s">
        <v>192</v>
      </c>
      <c r="D322" s="18">
        <v>10374</v>
      </c>
      <c r="E322" s="19" t="s">
        <v>501</v>
      </c>
      <c r="F322" s="19" t="s">
        <v>637</v>
      </c>
      <c r="G322" s="5"/>
      <c r="H322" s="19" t="s">
        <v>757</v>
      </c>
      <c r="I322" s="19" t="s">
        <v>767</v>
      </c>
      <c r="J322" s="19" t="s">
        <v>770</v>
      </c>
      <c r="K322" s="18">
        <v>167400</v>
      </c>
      <c r="L322" s="20" t="s">
        <v>1086</v>
      </c>
      <c r="M322" s="9">
        <f t="shared" ref="M322:M359" si="5">+K322+L322</f>
        <v>197532</v>
      </c>
      <c r="N322" s="19" t="s">
        <v>29</v>
      </c>
    </row>
    <row r="323" spans="1:14">
      <c r="A323" s="17" t="s">
        <v>54</v>
      </c>
      <c r="B323" s="18">
        <v>28784</v>
      </c>
      <c r="C323" s="19" t="s">
        <v>193</v>
      </c>
      <c r="D323" s="18">
        <v>10056</v>
      </c>
      <c r="E323" s="19" t="s">
        <v>502</v>
      </c>
      <c r="F323" s="19" t="s">
        <v>738</v>
      </c>
      <c r="G323" s="5"/>
      <c r="H323" s="19" t="s">
        <v>752</v>
      </c>
      <c r="I323" s="19" t="s">
        <v>34</v>
      </c>
      <c r="J323" s="19" t="s">
        <v>770</v>
      </c>
      <c r="K323" s="18">
        <v>446400</v>
      </c>
      <c r="L323" s="20" t="s">
        <v>1087</v>
      </c>
      <c r="M323" s="9">
        <f t="shared" si="5"/>
        <v>526752</v>
      </c>
      <c r="N323" s="19" t="s">
        <v>32</v>
      </c>
    </row>
    <row r="324" spans="1:14">
      <c r="A324" s="17" t="s">
        <v>54</v>
      </c>
      <c r="B324" s="18">
        <v>28403</v>
      </c>
      <c r="C324" s="19" t="s">
        <v>194</v>
      </c>
      <c r="D324" s="18">
        <v>10151</v>
      </c>
      <c r="E324" s="19" t="s">
        <v>503</v>
      </c>
      <c r="F324" s="19" t="s">
        <v>600</v>
      </c>
      <c r="G324" s="5"/>
      <c r="H324" s="19" t="s">
        <v>756</v>
      </c>
      <c r="I324" s="19" t="s">
        <v>767</v>
      </c>
      <c r="J324" s="19" t="s">
        <v>770</v>
      </c>
      <c r="K324" s="18">
        <v>5290000</v>
      </c>
      <c r="L324" s="20" t="s">
        <v>1088</v>
      </c>
      <c r="M324" s="9">
        <f t="shared" si="5"/>
        <v>6242200</v>
      </c>
      <c r="N324" s="19" t="s">
        <v>29</v>
      </c>
    </row>
    <row r="325" spans="1:14">
      <c r="A325" s="17" t="s">
        <v>54</v>
      </c>
      <c r="B325" s="18">
        <v>17566</v>
      </c>
      <c r="C325" s="19" t="s">
        <v>195</v>
      </c>
      <c r="D325" s="18">
        <v>10274</v>
      </c>
      <c r="E325" s="19" t="s">
        <v>504</v>
      </c>
      <c r="F325" s="19" t="s">
        <v>739</v>
      </c>
      <c r="G325" s="5"/>
      <c r="H325" s="19" t="s">
        <v>753</v>
      </c>
      <c r="I325" s="19" t="s">
        <v>34</v>
      </c>
      <c r="J325" s="19" t="s">
        <v>772</v>
      </c>
      <c r="K325" s="18">
        <v>3087000</v>
      </c>
      <c r="L325" s="20" t="s">
        <v>1089</v>
      </c>
      <c r="M325" s="9">
        <f t="shared" si="5"/>
        <v>4137764.4</v>
      </c>
      <c r="N325" s="19" t="s">
        <v>29</v>
      </c>
    </row>
    <row r="326" spans="1:14">
      <c r="A326" s="17" t="s">
        <v>54</v>
      </c>
      <c r="B326" s="18">
        <v>27203</v>
      </c>
      <c r="C326" s="19" t="s">
        <v>196</v>
      </c>
      <c r="D326" s="18">
        <v>10617</v>
      </c>
      <c r="E326" s="19" t="s">
        <v>505</v>
      </c>
      <c r="F326" s="19" t="s">
        <v>571</v>
      </c>
      <c r="G326" s="5"/>
      <c r="H326" s="19" t="s">
        <v>763</v>
      </c>
      <c r="I326" s="19" t="s">
        <v>34</v>
      </c>
      <c r="J326" s="19" t="s">
        <v>770</v>
      </c>
      <c r="K326" s="18">
        <v>36000</v>
      </c>
      <c r="L326" s="20" t="s">
        <v>1090</v>
      </c>
      <c r="M326" s="9">
        <f t="shared" si="5"/>
        <v>42480</v>
      </c>
      <c r="N326" s="19" t="s">
        <v>29</v>
      </c>
    </row>
    <row r="327" spans="1:14">
      <c r="A327" s="17" t="s">
        <v>54</v>
      </c>
      <c r="B327" s="18">
        <v>27203</v>
      </c>
      <c r="C327" s="19" t="s">
        <v>196</v>
      </c>
      <c r="D327" s="18">
        <v>10589</v>
      </c>
      <c r="E327" s="19" t="s">
        <v>425</v>
      </c>
      <c r="F327" s="19" t="s">
        <v>699</v>
      </c>
      <c r="G327" s="5"/>
      <c r="H327" s="19" t="s">
        <v>756</v>
      </c>
      <c r="I327" s="19" t="s">
        <v>767</v>
      </c>
      <c r="J327" s="19" t="s">
        <v>770</v>
      </c>
      <c r="K327" s="18">
        <v>52920</v>
      </c>
      <c r="L327" s="20" t="s">
        <v>1091</v>
      </c>
      <c r="M327" s="9">
        <f t="shared" si="5"/>
        <v>62445.599999999999</v>
      </c>
      <c r="N327" s="19" t="s">
        <v>29</v>
      </c>
    </row>
    <row r="328" spans="1:14">
      <c r="A328" s="17" t="s">
        <v>54</v>
      </c>
      <c r="B328" s="18">
        <v>29235</v>
      </c>
      <c r="C328" s="19" t="s">
        <v>197</v>
      </c>
      <c r="D328" s="18">
        <v>10609</v>
      </c>
      <c r="E328" s="19" t="s">
        <v>506</v>
      </c>
      <c r="F328" s="19" t="s">
        <v>668</v>
      </c>
      <c r="G328" s="5"/>
      <c r="H328" s="19" t="s">
        <v>759</v>
      </c>
      <c r="I328" s="19" t="s">
        <v>34</v>
      </c>
      <c r="J328" s="19" t="s">
        <v>770</v>
      </c>
      <c r="K328" s="18">
        <v>44500</v>
      </c>
      <c r="L328" s="20" t="s">
        <v>1092</v>
      </c>
      <c r="M328" s="9">
        <f t="shared" si="5"/>
        <v>52510</v>
      </c>
      <c r="N328" s="19" t="s">
        <v>29</v>
      </c>
    </row>
    <row r="329" spans="1:14">
      <c r="A329" s="17" t="s">
        <v>54</v>
      </c>
      <c r="B329" s="18">
        <v>20500</v>
      </c>
      <c r="C329" s="19" t="s">
        <v>198</v>
      </c>
      <c r="D329" s="18">
        <v>10417</v>
      </c>
      <c r="E329" s="19" t="s">
        <v>507</v>
      </c>
      <c r="F329" s="19" t="s">
        <v>537</v>
      </c>
      <c r="G329" s="5"/>
      <c r="H329" s="19" t="s">
        <v>762</v>
      </c>
      <c r="I329" s="19" t="s">
        <v>34</v>
      </c>
      <c r="J329" s="19" t="s">
        <v>770</v>
      </c>
      <c r="K329" s="18">
        <v>730000</v>
      </c>
      <c r="L329" s="20" t="s">
        <v>1093</v>
      </c>
      <c r="M329" s="9">
        <f t="shared" si="5"/>
        <v>861400</v>
      </c>
      <c r="N329" s="19" t="s">
        <v>29</v>
      </c>
    </row>
    <row r="330" spans="1:14">
      <c r="A330" s="17" t="s">
        <v>54</v>
      </c>
      <c r="B330" s="18">
        <v>3237</v>
      </c>
      <c r="C330" s="19" t="s">
        <v>199</v>
      </c>
      <c r="D330" s="18">
        <v>10347</v>
      </c>
      <c r="E330" s="19" t="s">
        <v>508</v>
      </c>
      <c r="F330" s="19" t="s">
        <v>740</v>
      </c>
      <c r="G330" s="5"/>
      <c r="H330" s="19" t="s">
        <v>756</v>
      </c>
      <c r="I330" s="19" t="s">
        <v>767</v>
      </c>
      <c r="J330" s="19" t="s">
        <v>770</v>
      </c>
      <c r="K330" s="18">
        <v>1111544.78</v>
      </c>
      <c r="L330" s="20" t="s">
        <v>1094</v>
      </c>
      <c r="M330" s="9">
        <f t="shared" si="5"/>
        <v>1311622.8400000001</v>
      </c>
      <c r="N330" s="19" t="s">
        <v>29</v>
      </c>
    </row>
    <row r="331" spans="1:14">
      <c r="A331" s="17" t="s">
        <v>54</v>
      </c>
      <c r="B331" s="18">
        <v>3237</v>
      </c>
      <c r="C331" s="19" t="s">
        <v>199</v>
      </c>
      <c r="D331" s="18">
        <v>10625</v>
      </c>
      <c r="E331" s="19" t="s">
        <v>509</v>
      </c>
      <c r="F331" s="19" t="s">
        <v>741</v>
      </c>
      <c r="G331" s="5"/>
      <c r="H331" s="19" t="s">
        <v>756</v>
      </c>
      <c r="I331" s="19" t="s">
        <v>767</v>
      </c>
      <c r="J331" s="19" t="s">
        <v>770</v>
      </c>
      <c r="K331" s="18">
        <v>162900</v>
      </c>
      <c r="L331" s="20" t="s">
        <v>1095</v>
      </c>
      <c r="M331" s="9">
        <f t="shared" si="5"/>
        <v>204918.27</v>
      </c>
      <c r="N331" s="19" t="s">
        <v>29</v>
      </c>
    </row>
    <row r="332" spans="1:14">
      <c r="A332" s="17" t="s">
        <v>54</v>
      </c>
      <c r="B332" s="18">
        <v>29079</v>
      </c>
      <c r="C332" s="19" t="s">
        <v>200</v>
      </c>
      <c r="D332" s="18">
        <v>10431</v>
      </c>
      <c r="E332" s="19" t="s">
        <v>510</v>
      </c>
      <c r="F332" s="19" t="s">
        <v>587</v>
      </c>
      <c r="G332" s="5"/>
      <c r="H332" s="19" t="s">
        <v>757</v>
      </c>
      <c r="I332" s="19" t="s">
        <v>767</v>
      </c>
      <c r="J332" s="19" t="s">
        <v>770</v>
      </c>
      <c r="K332" s="18">
        <v>38740</v>
      </c>
      <c r="L332" s="20" t="s">
        <v>1096</v>
      </c>
      <c r="M332" s="9">
        <f t="shared" si="5"/>
        <v>45713.2</v>
      </c>
      <c r="N332" s="19" t="s">
        <v>29</v>
      </c>
    </row>
    <row r="333" spans="1:14">
      <c r="A333" s="17" t="s">
        <v>54</v>
      </c>
      <c r="B333" s="18">
        <v>17535</v>
      </c>
      <c r="C333" s="19" t="s">
        <v>201</v>
      </c>
      <c r="D333" s="18">
        <v>10155</v>
      </c>
      <c r="E333" s="19" t="s">
        <v>293</v>
      </c>
      <c r="F333" s="19" t="s">
        <v>586</v>
      </c>
      <c r="G333" s="5"/>
      <c r="H333" s="19" t="s">
        <v>758</v>
      </c>
      <c r="I333" s="19" t="s">
        <v>768</v>
      </c>
      <c r="J333" s="19" t="s">
        <v>772</v>
      </c>
      <c r="K333" s="18">
        <v>376300</v>
      </c>
      <c r="L333" s="20" t="s">
        <v>1097</v>
      </c>
      <c r="M333" s="9">
        <f t="shared" si="5"/>
        <v>472920.4</v>
      </c>
      <c r="N333" s="19" t="s">
        <v>29</v>
      </c>
    </row>
    <row r="334" spans="1:14">
      <c r="A334" s="17" t="s">
        <v>54</v>
      </c>
      <c r="B334" s="18">
        <v>24988</v>
      </c>
      <c r="C334" s="19" t="s">
        <v>202</v>
      </c>
      <c r="D334" s="18">
        <v>10275</v>
      </c>
      <c r="E334" s="19" t="s">
        <v>504</v>
      </c>
      <c r="F334" s="19" t="s">
        <v>739</v>
      </c>
      <c r="G334" s="5"/>
      <c r="H334" s="19" t="s">
        <v>753</v>
      </c>
      <c r="I334" s="19" t="s">
        <v>34</v>
      </c>
      <c r="J334" s="19" t="s">
        <v>772</v>
      </c>
      <c r="K334" s="18">
        <v>1502820</v>
      </c>
      <c r="L334" s="20" t="s">
        <v>1098</v>
      </c>
      <c r="M334" s="9">
        <f t="shared" si="5"/>
        <v>1773327.6</v>
      </c>
      <c r="N334" s="19" t="s">
        <v>29</v>
      </c>
    </row>
    <row r="335" spans="1:14">
      <c r="A335" s="17" t="s">
        <v>54</v>
      </c>
      <c r="B335" s="18">
        <v>24988</v>
      </c>
      <c r="C335" s="19" t="s">
        <v>202</v>
      </c>
      <c r="D335" s="18">
        <v>10362</v>
      </c>
      <c r="E335" s="19" t="s">
        <v>511</v>
      </c>
      <c r="F335" s="19" t="s">
        <v>552</v>
      </c>
      <c r="G335" s="5"/>
      <c r="H335" s="19" t="s">
        <v>753</v>
      </c>
      <c r="I335" s="19" t="s">
        <v>34</v>
      </c>
      <c r="J335" s="19" t="s">
        <v>772</v>
      </c>
      <c r="K335" s="18">
        <v>3870000</v>
      </c>
      <c r="L335" s="20" t="s">
        <v>1099</v>
      </c>
      <c r="M335" s="9">
        <f t="shared" si="5"/>
        <v>4566600</v>
      </c>
      <c r="N335" s="19" t="s">
        <v>29</v>
      </c>
    </row>
    <row r="336" spans="1:14">
      <c r="A336" s="17" t="s">
        <v>54</v>
      </c>
      <c r="B336" s="18">
        <v>2951</v>
      </c>
      <c r="C336" s="19" t="s">
        <v>203</v>
      </c>
      <c r="D336" s="18">
        <v>10407</v>
      </c>
      <c r="E336" s="19" t="s">
        <v>512</v>
      </c>
      <c r="F336" s="19" t="s">
        <v>721</v>
      </c>
      <c r="G336" s="5"/>
      <c r="H336" s="19" t="s">
        <v>757</v>
      </c>
      <c r="I336" s="19" t="s">
        <v>767</v>
      </c>
      <c r="J336" s="19" t="s">
        <v>770</v>
      </c>
      <c r="K336" s="18">
        <v>40500</v>
      </c>
      <c r="L336" s="20" t="s">
        <v>1100</v>
      </c>
      <c r="M336" s="9">
        <f t="shared" si="5"/>
        <v>45360</v>
      </c>
      <c r="N336" s="19" t="s">
        <v>29</v>
      </c>
    </row>
    <row r="337" spans="1:14">
      <c r="A337" s="17" t="s">
        <v>54</v>
      </c>
      <c r="B337" s="18">
        <v>25181</v>
      </c>
      <c r="C337" s="19" t="s">
        <v>204</v>
      </c>
      <c r="D337" s="18">
        <v>10455</v>
      </c>
      <c r="E337" s="19" t="s">
        <v>513</v>
      </c>
      <c r="F337" s="19" t="s">
        <v>711</v>
      </c>
      <c r="G337" s="5"/>
      <c r="H337" s="19" t="s">
        <v>759</v>
      </c>
      <c r="I337" s="19" t="s">
        <v>34</v>
      </c>
      <c r="J337" s="19" t="s">
        <v>770</v>
      </c>
      <c r="K337" s="18">
        <v>665113</v>
      </c>
      <c r="L337" s="20" t="s">
        <v>1101</v>
      </c>
      <c r="M337" s="9">
        <f t="shared" si="5"/>
        <v>824075.01</v>
      </c>
      <c r="N337" s="19" t="s">
        <v>29</v>
      </c>
    </row>
    <row r="338" spans="1:14">
      <c r="A338" s="17" t="s">
        <v>54</v>
      </c>
      <c r="B338" s="18">
        <v>25181</v>
      </c>
      <c r="C338" s="19" t="s">
        <v>204</v>
      </c>
      <c r="D338" s="18">
        <v>10515</v>
      </c>
      <c r="E338" s="19" t="s">
        <v>514</v>
      </c>
      <c r="F338" s="19" t="s">
        <v>730</v>
      </c>
      <c r="G338" s="5"/>
      <c r="H338" s="19" t="s">
        <v>759</v>
      </c>
      <c r="I338" s="19" t="s">
        <v>34</v>
      </c>
      <c r="J338" s="19" t="s">
        <v>770</v>
      </c>
      <c r="K338" s="18">
        <v>944085</v>
      </c>
      <c r="L338" s="20" t="s">
        <v>1102</v>
      </c>
      <c r="M338" s="9">
        <f t="shared" si="5"/>
        <v>1130730.6299999999</v>
      </c>
      <c r="N338" s="19" t="s">
        <v>29</v>
      </c>
    </row>
    <row r="339" spans="1:14">
      <c r="A339" s="17" t="s">
        <v>54</v>
      </c>
      <c r="B339" s="18">
        <v>28958</v>
      </c>
      <c r="C339" s="19" t="s">
        <v>205</v>
      </c>
      <c r="D339" s="18">
        <v>10269</v>
      </c>
      <c r="E339" s="19" t="s">
        <v>515</v>
      </c>
      <c r="F339" s="19" t="s">
        <v>578</v>
      </c>
      <c r="G339" s="5"/>
      <c r="H339" s="19" t="s">
        <v>762</v>
      </c>
      <c r="I339" s="19" t="s">
        <v>34</v>
      </c>
      <c r="J339" s="19" t="s">
        <v>770</v>
      </c>
      <c r="K339" s="18">
        <v>90100</v>
      </c>
      <c r="L339" s="20" t="s">
        <v>1103</v>
      </c>
      <c r="M339" s="9">
        <f t="shared" si="5"/>
        <v>106318</v>
      </c>
      <c r="N339" s="19" t="s">
        <v>29</v>
      </c>
    </row>
    <row r="340" spans="1:14">
      <c r="A340" s="17" t="s">
        <v>54</v>
      </c>
      <c r="B340" s="18">
        <v>28236</v>
      </c>
      <c r="C340" s="19" t="s">
        <v>206</v>
      </c>
      <c r="D340" s="18">
        <v>10564</v>
      </c>
      <c r="E340" s="19" t="s">
        <v>282</v>
      </c>
      <c r="F340" s="19" t="s">
        <v>707</v>
      </c>
      <c r="G340" s="5"/>
      <c r="H340" s="19" t="s">
        <v>759</v>
      </c>
      <c r="I340" s="19" t="s">
        <v>34</v>
      </c>
      <c r="J340" s="19" t="s">
        <v>770</v>
      </c>
      <c r="K340" s="18">
        <v>17500</v>
      </c>
      <c r="L340" s="20" t="s">
        <v>1104</v>
      </c>
      <c r="M340" s="9">
        <f t="shared" si="5"/>
        <v>20650</v>
      </c>
      <c r="N340" s="19" t="s">
        <v>29</v>
      </c>
    </row>
    <row r="341" spans="1:14">
      <c r="A341" s="17" t="s">
        <v>54</v>
      </c>
      <c r="B341" s="18">
        <v>27261</v>
      </c>
      <c r="C341" s="19" t="s">
        <v>207</v>
      </c>
      <c r="D341" s="18">
        <v>10264</v>
      </c>
      <c r="E341" s="19" t="s">
        <v>516</v>
      </c>
      <c r="F341" s="19" t="s">
        <v>742</v>
      </c>
      <c r="G341" s="5"/>
      <c r="H341" s="19" t="s">
        <v>754</v>
      </c>
      <c r="I341" s="19" t="s">
        <v>34</v>
      </c>
      <c r="J341" s="19" t="s">
        <v>770</v>
      </c>
      <c r="K341" s="18">
        <v>75550</v>
      </c>
      <c r="L341" s="20" t="s">
        <v>1105</v>
      </c>
      <c r="M341" s="9">
        <f t="shared" si="5"/>
        <v>108947.84</v>
      </c>
      <c r="N341" s="19" t="s">
        <v>29</v>
      </c>
    </row>
    <row r="342" spans="1:14">
      <c r="A342" s="17" t="s">
        <v>54</v>
      </c>
      <c r="B342" s="18">
        <v>26271</v>
      </c>
      <c r="C342" s="19" t="s">
        <v>208</v>
      </c>
      <c r="D342" s="18">
        <v>10267</v>
      </c>
      <c r="E342" s="19" t="s">
        <v>517</v>
      </c>
      <c r="F342" s="19" t="s">
        <v>709</v>
      </c>
      <c r="G342" s="5"/>
      <c r="H342" s="19" t="s">
        <v>751</v>
      </c>
      <c r="I342" s="19" t="s">
        <v>765</v>
      </c>
      <c r="J342" s="19" t="s">
        <v>770</v>
      </c>
      <c r="K342" s="18">
        <v>128000</v>
      </c>
      <c r="L342" s="20" t="s">
        <v>1106</v>
      </c>
      <c r="M342" s="9">
        <f t="shared" si="5"/>
        <v>151040</v>
      </c>
      <c r="N342" s="19" t="s">
        <v>28</v>
      </c>
    </row>
    <row r="343" spans="1:14">
      <c r="A343" s="17" t="s">
        <v>54</v>
      </c>
      <c r="B343" s="18">
        <v>28200</v>
      </c>
      <c r="C343" s="19" t="s">
        <v>209</v>
      </c>
      <c r="D343" s="18">
        <v>10458</v>
      </c>
      <c r="E343" s="19" t="s">
        <v>518</v>
      </c>
      <c r="F343" s="19" t="s">
        <v>674</v>
      </c>
      <c r="G343" s="5"/>
      <c r="H343" s="19" t="s">
        <v>759</v>
      </c>
      <c r="I343" s="19" t="s">
        <v>34</v>
      </c>
      <c r="J343" s="19" t="s">
        <v>770</v>
      </c>
      <c r="K343" s="18">
        <v>184000</v>
      </c>
      <c r="L343" s="20" t="s">
        <v>1107</v>
      </c>
      <c r="M343" s="9">
        <f t="shared" si="5"/>
        <v>217120</v>
      </c>
      <c r="N343" s="19" t="s">
        <v>29</v>
      </c>
    </row>
    <row r="344" spans="1:14">
      <c r="A344" s="17" t="s">
        <v>54</v>
      </c>
      <c r="B344" s="18">
        <v>25243</v>
      </c>
      <c r="C344" s="19" t="s">
        <v>210</v>
      </c>
      <c r="D344" s="18">
        <v>10590</v>
      </c>
      <c r="E344" s="19" t="s">
        <v>519</v>
      </c>
      <c r="F344" s="19" t="s">
        <v>743</v>
      </c>
      <c r="G344" s="5"/>
      <c r="H344" s="19" t="s">
        <v>763</v>
      </c>
      <c r="I344" s="19" t="s">
        <v>34</v>
      </c>
      <c r="J344" s="19" t="s">
        <v>770</v>
      </c>
      <c r="K344" s="18">
        <v>314111.5</v>
      </c>
      <c r="L344" s="20" t="s">
        <v>1108</v>
      </c>
      <c r="M344" s="9">
        <f t="shared" si="5"/>
        <v>370651.57</v>
      </c>
      <c r="N344" s="19" t="s">
        <v>29</v>
      </c>
    </row>
    <row r="345" spans="1:14">
      <c r="A345" s="17" t="s">
        <v>54</v>
      </c>
      <c r="B345" s="18">
        <v>29119</v>
      </c>
      <c r="C345" s="19" t="s">
        <v>211</v>
      </c>
      <c r="D345" s="18">
        <v>10478</v>
      </c>
      <c r="E345" s="19" t="s">
        <v>520</v>
      </c>
      <c r="F345" s="19" t="s">
        <v>538</v>
      </c>
      <c r="G345" s="5"/>
      <c r="H345" s="19" t="s">
        <v>755</v>
      </c>
      <c r="I345" s="19" t="s">
        <v>34</v>
      </c>
      <c r="J345" s="19" t="s">
        <v>770</v>
      </c>
      <c r="K345" s="18">
        <v>1852395</v>
      </c>
      <c r="L345" s="20" t="s">
        <v>1109</v>
      </c>
      <c r="M345" s="9">
        <f t="shared" si="5"/>
        <v>2185826.1</v>
      </c>
      <c r="N345" s="19" t="s">
        <v>28</v>
      </c>
    </row>
    <row r="346" spans="1:14">
      <c r="A346" s="17" t="s">
        <v>54</v>
      </c>
      <c r="B346" s="18">
        <v>19662</v>
      </c>
      <c r="C346" s="19" t="s">
        <v>212</v>
      </c>
      <c r="D346" s="18">
        <v>10075</v>
      </c>
      <c r="E346" s="19" t="s">
        <v>521</v>
      </c>
      <c r="F346" s="19" t="s">
        <v>744</v>
      </c>
      <c r="G346" s="5"/>
      <c r="H346" s="19" t="s">
        <v>754</v>
      </c>
      <c r="I346" s="19" t="s">
        <v>34</v>
      </c>
      <c r="J346" s="19" t="s">
        <v>770</v>
      </c>
      <c r="K346" s="18">
        <v>496030</v>
      </c>
      <c r="L346" s="20" t="s">
        <v>1110</v>
      </c>
      <c r="M346" s="9">
        <f t="shared" si="5"/>
        <v>602874.86</v>
      </c>
      <c r="N346" s="19" t="s">
        <v>41</v>
      </c>
    </row>
    <row r="347" spans="1:14">
      <c r="A347" s="17" t="s">
        <v>54</v>
      </c>
      <c r="B347" s="18">
        <v>28961</v>
      </c>
      <c r="C347" s="19" t="s">
        <v>213</v>
      </c>
      <c r="D347" s="18">
        <v>10283</v>
      </c>
      <c r="E347" s="19" t="s">
        <v>522</v>
      </c>
      <c r="F347" s="19" t="s">
        <v>579</v>
      </c>
      <c r="G347" s="5"/>
      <c r="H347" s="19" t="s">
        <v>756</v>
      </c>
      <c r="I347" s="19" t="s">
        <v>767</v>
      </c>
      <c r="J347" s="19" t="s">
        <v>770</v>
      </c>
      <c r="K347" s="18">
        <v>11000</v>
      </c>
      <c r="L347" s="20" t="s">
        <v>1111</v>
      </c>
      <c r="M347" s="9">
        <f t="shared" si="5"/>
        <v>12980</v>
      </c>
      <c r="N347" s="19" t="s">
        <v>29</v>
      </c>
    </row>
    <row r="348" spans="1:14">
      <c r="A348" s="17" t="s">
        <v>54</v>
      </c>
      <c r="B348" s="18">
        <v>3102</v>
      </c>
      <c r="C348" s="19" t="s">
        <v>214</v>
      </c>
      <c r="D348" s="18">
        <v>10581</v>
      </c>
      <c r="E348" s="19" t="s">
        <v>464</v>
      </c>
      <c r="F348" s="19" t="s">
        <v>719</v>
      </c>
      <c r="G348" s="5"/>
      <c r="H348" s="19" t="s">
        <v>759</v>
      </c>
      <c r="I348" s="19" t="s">
        <v>34</v>
      </c>
      <c r="J348" s="19" t="s">
        <v>770</v>
      </c>
      <c r="K348" s="18">
        <v>10400</v>
      </c>
      <c r="L348" s="20" t="s">
        <v>1112</v>
      </c>
      <c r="M348" s="9">
        <f t="shared" si="5"/>
        <v>12272</v>
      </c>
      <c r="N348" s="19" t="s">
        <v>29</v>
      </c>
    </row>
    <row r="349" spans="1:14">
      <c r="A349" s="17" t="s">
        <v>54</v>
      </c>
      <c r="B349" s="18">
        <v>23290</v>
      </c>
      <c r="C349" s="19" t="s">
        <v>215</v>
      </c>
      <c r="D349" s="18">
        <v>10603</v>
      </c>
      <c r="E349" s="19" t="s">
        <v>523</v>
      </c>
      <c r="F349" s="19" t="s">
        <v>644</v>
      </c>
      <c r="G349" s="5"/>
      <c r="H349" s="19" t="s">
        <v>754</v>
      </c>
      <c r="I349" s="19" t="s">
        <v>34</v>
      </c>
      <c r="J349" s="19" t="s">
        <v>770</v>
      </c>
      <c r="K349" s="18">
        <v>760800</v>
      </c>
      <c r="L349" s="20" t="s">
        <v>1113</v>
      </c>
      <c r="M349" s="9">
        <f t="shared" si="5"/>
        <v>897744</v>
      </c>
      <c r="N349" s="19" t="s">
        <v>41</v>
      </c>
    </row>
    <row r="350" spans="1:14">
      <c r="A350" s="17" t="s">
        <v>54</v>
      </c>
      <c r="B350" s="18">
        <v>23290</v>
      </c>
      <c r="C350" s="19" t="s">
        <v>215</v>
      </c>
      <c r="D350" s="18">
        <v>10386</v>
      </c>
      <c r="E350" s="19" t="s">
        <v>524</v>
      </c>
      <c r="F350" s="19" t="s">
        <v>745</v>
      </c>
      <c r="G350" s="5"/>
      <c r="H350" s="19" t="s">
        <v>754</v>
      </c>
      <c r="I350" s="19" t="s">
        <v>34</v>
      </c>
      <c r="J350" s="19" t="s">
        <v>770</v>
      </c>
      <c r="K350" s="18">
        <v>3300000</v>
      </c>
      <c r="L350" s="20" t="s">
        <v>1114</v>
      </c>
      <c r="M350" s="9">
        <f t="shared" si="5"/>
        <v>3894000</v>
      </c>
      <c r="N350" s="19" t="s">
        <v>41</v>
      </c>
    </row>
    <row r="351" spans="1:14">
      <c r="A351" s="17" t="s">
        <v>54</v>
      </c>
      <c r="B351" s="18">
        <v>23290</v>
      </c>
      <c r="C351" s="19" t="s">
        <v>215</v>
      </c>
      <c r="D351" s="18">
        <v>10385</v>
      </c>
      <c r="E351" s="19" t="s">
        <v>525</v>
      </c>
      <c r="F351" s="19" t="s">
        <v>746</v>
      </c>
      <c r="G351" s="5"/>
      <c r="H351" s="19" t="s">
        <v>754</v>
      </c>
      <c r="I351" s="19" t="s">
        <v>34</v>
      </c>
      <c r="J351" s="19" t="s">
        <v>770</v>
      </c>
      <c r="K351" s="18">
        <v>1100000</v>
      </c>
      <c r="L351" s="20" t="s">
        <v>1115</v>
      </c>
      <c r="M351" s="9">
        <f t="shared" si="5"/>
        <v>1298000</v>
      </c>
      <c r="N351" s="19" t="s">
        <v>41</v>
      </c>
    </row>
    <row r="352" spans="1:14">
      <c r="A352" s="17" t="s">
        <v>54</v>
      </c>
      <c r="B352" s="18">
        <v>23290</v>
      </c>
      <c r="C352" s="19" t="s">
        <v>215</v>
      </c>
      <c r="D352" s="18">
        <v>10600</v>
      </c>
      <c r="E352" s="19" t="s">
        <v>526</v>
      </c>
      <c r="F352" s="19" t="s">
        <v>747</v>
      </c>
      <c r="G352" s="5"/>
      <c r="H352" s="19" t="s">
        <v>754</v>
      </c>
      <c r="I352" s="19" t="s">
        <v>34</v>
      </c>
      <c r="J352" s="19" t="s">
        <v>770</v>
      </c>
      <c r="K352" s="18">
        <v>840000</v>
      </c>
      <c r="L352" s="20" t="s">
        <v>1116</v>
      </c>
      <c r="M352" s="9">
        <f t="shared" si="5"/>
        <v>991200</v>
      </c>
      <c r="N352" s="19" t="s">
        <v>41</v>
      </c>
    </row>
    <row r="353" spans="1:14">
      <c r="A353" s="17" t="s">
        <v>54</v>
      </c>
      <c r="B353" s="18">
        <v>12629</v>
      </c>
      <c r="C353" s="19" t="s">
        <v>49</v>
      </c>
      <c r="D353" s="18">
        <v>10404</v>
      </c>
      <c r="E353" s="19" t="s">
        <v>527</v>
      </c>
      <c r="F353" s="19" t="s">
        <v>721</v>
      </c>
      <c r="G353" s="5"/>
      <c r="H353" s="19" t="s">
        <v>756</v>
      </c>
      <c r="I353" s="19" t="s">
        <v>767</v>
      </c>
      <c r="J353" s="19" t="s">
        <v>770</v>
      </c>
      <c r="K353" s="18">
        <v>238815</v>
      </c>
      <c r="L353" s="20" t="s">
        <v>1117</v>
      </c>
      <c r="M353" s="9">
        <f t="shared" si="5"/>
        <v>301537.2</v>
      </c>
      <c r="N353" s="19" t="s">
        <v>29</v>
      </c>
    </row>
    <row r="354" spans="1:14">
      <c r="A354" s="17" t="s">
        <v>54</v>
      </c>
      <c r="B354" s="18">
        <v>12629</v>
      </c>
      <c r="C354" s="19" t="s">
        <v>49</v>
      </c>
      <c r="D354" s="18">
        <v>10586</v>
      </c>
      <c r="E354" s="19" t="s">
        <v>528</v>
      </c>
      <c r="F354" s="19" t="s">
        <v>737</v>
      </c>
      <c r="G354" s="5"/>
      <c r="H354" s="19" t="s">
        <v>763</v>
      </c>
      <c r="I354" s="19" t="s">
        <v>34</v>
      </c>
      <c r="J354" s="19" t="s">
        <v>770</v>
      </c>
      <c r="K354" s="18">
        <v>297805</v>
      </c>
      <c r="L354" s="20" t="s">
        <v>1118</v>
      </c>
      <c r="M354" s="9">
        <f t="shared" si="5"/>
        <v>376008.6</v>
      </c>
      <c r="N354" s="19" t="s">
        <v>29</v>
      </c>
    </row>
    <row r="355" spans="1:14">
      <c r="A355" s="17" t="s">
        <v>54</v>
      </c>
      <c r="B355" s="18">
        <v>26644</v>
      </c>
      <c r="C355" s="19" t="s">
        <v>216</v>
      </c>
      <c r="D355" s="18">
        <v>10446</v>
      </c>
      <c r="E355" s="19" t="s">
        <v>529</v>
      </c>
      <c r="F355" s="19" t="s">
        <v>748</v>
      </c>
      <c r="G355" s="5"/>
      <c r="H355" s="19" t="s">
        <v>759</v>
      </c>
      <c r="I355" s="19" t="s">
        <v>34</v>
      </c>
      <c r="J355" s="19" t="s">
        <v>770</v>
      </c>
      <c r="K355" s="18">
        <v>375000</v>
      </c>
      <c r="L355" s="20" t="s">
        <v>1119</v>
      </c>
      <c r="M355" s="9">
        <f t="shared" si="5"/>
        <v>448400</v>
      </c>
      <c r="N355" s="19" t="s">
        <v>29</v>
      </c>
    </row>
    <row r="356" spans="1:14">
      <c r="A356" s="17" t="s">
        <v>54</v>
      </c>
      <c r="B356" s="18">
        <v>27368</v>
      </c>
      <c r="C356" s="19" t="s">
        <v>217</v>
      </c>
      <c r="D356" s="18">
        <v>10186</v>
      </c>
      <c r="E356" s="19" t="s">
        <v>530</v>
      </c>
      <c r="F356" s="19" t="s">
        <v>749</v>
      </c>
      <c r="G356" s="5"/>
      <c r="H356" s="19" t="s">
        <v>33</v>
      </c>
      <c r="I356" s="19" t="s">
        <v>34</v>
      </c>
      <c r="J356" s="19" t="s">
        <v>770</v>
      </c>
      <c r="K356" s="18">
        <v>2509593</v>
      </c>
      <c r="L356" s="20" t="s">
        <v>1120</v>
      </c>
      <c r="M356" s="9">
        <f t="shared" si="5"/>
        <v>2961319.74</v>
      </c>
      <c r="N356" s="19" t="s">
        <v>28</v>
      </c>
    </row>
    <row r="357" spans="1:14">
      <c r="A357" s="17" t="s">
        <v>54</v>
      </c>
      <c r="B357" s="18">
        <v>2922</v>
      </c>
      <c r="C357" s="19" t="s">
        <v>218</v>
      </c>
      <c r="D357" s="18">
        <v>10644</v>
      </c>
      <c r="E357" s="19" t="s">
        <v>531</v>
      </c>
      <c r="F357" s="19" t="s">
        <v>557</v>
      </c>
      <c r="G357" s="5"/>
      <c r="H357" s="19" t="s">
        <v>753</v>
      </c>
      <c r="I357" s="19" t="s">
        <v>34</v>
      </c>
      <c r="J357" s="19" t="s">
        <v>772</v>
      </c>
      <c r="K357" s="18">
        <v>1306500</v>
      </c>
      <c r="L357" s="20" t="s">
        <v>1121</v>
      </c>
      <c r="M357" s="9">
        <f t="shared" si="5"/>
        <v>1541670</v>
      </c>
      <c r="N357" s="19" t="s">
        <v>29</v>
      </c>
    </row>
    <row r="358" spans="1:14">
      <c r="A358" s="17" t="s">
        <v>54</v>
      </c>
      <c r="B358" s="18">
        <v>18294</v>
      </c>
      <c r="C358" s="19" t="s">
        <v>219</v>
      </c>
      <c r="D358" s="18">
        <v>10594</v>
      </c>
      <c r="E358" s="19" t="s">
        <v>532</v>
      </c>
      <c r="F358" s="19" t="s">
        <v>653</v>
      </c>
      <c r="G358" s="5"/>
      <c r="H358" s="19" t="s">
        <v>753</v>
      </c>
      <c r="I358" s="19" t="s">
        <v>34</v>
      </c>
      <c r="J358" s="19" t="s">
        <v>770</v>
      </c>
      <c r="K358" s="18">
        <v>7020000</v>
      </c>
      <c r="L358" s="20" t="s">
        <v>1122</v>
      </c>
      <c r="M358" s="9">
        <f t="shared" si="5"/>
        <v>8283600</v>
      </c>
      <c r="N358" s="19" t="s">
        <v>29</v>
      </c>
    </row>
    <row r="359" spans="1:14">
      <c r="A359" s="21" t="s">
        <v>54</v>
      </c>
      <c r="B359" s="22">
        <v>28709</v>
      </c>
      <c r="C359" s="23" t="s">
        <v>220</v>
      </c>
      <c r="D359" s="22">
        <v>9154</v>
      </c>
      <c r="E359" s="23" t="s">
        <v>533</v>
      </c>
      <c r="F359" s="23" t="s">
        <v>750</v>
      </c>
      <c r="G359" s="5"/>
      <c r="H359" s="23" t="s">
        <v>33</v>
      </c>
      <c r="I359" s="23" t="s">
        <v>34</v>
      </c>
      <c r="J359" s="23" t="s">
        <v>770</v>
      </c>
      <c r="K359" s="22">
        <v>137665.60500000001</v>
      </c>
      <c r="L359" s="24"/>
      <c r="M359" s="9">
        <f t="shared" si="5"/>
        <v>137665.60500000001</v>
      </c>
      <c r="N359" s="23" t="s">
        <v>28</v>
      </c>
    </row>
    <row r="360" spans="1:14">
      <c r="A360" s="21" t="s">
        <v>54</v>
      </c>
      <c r="B360" s="14">
        <v>29330</v>
      </c>
      <c r="C360" s="15" t="s">
        <v>1124</v>
      </c>
      <c r="D360" s="14">
        <v>10724</v>
      </c>
      <c r="E360" s="15" t="s">
        <v>1149</v>
      </c>
      <c r="F360" s="15" t="s">
        <v>1219</v>
      </c>
      <c r="G360" s="5"/>
      <c r="H360" s="15" t="s">
        <v>752</v>
      </c>
      <c r="I360" s="15" t="s">
        <v>34</v>
      </c>
      <c r="J360" s="15" t="s">
        <v>770</v>
      </c>
      <c r="K360" s="14">
        <v>1381865</v>
      </c>
      <c r="L360" s="25" t="s">
        <v>1253</v>
      </c>
      <c r="M360" s="14">
        <v>1630600.7</v>
      </c>
      <c r="N360" s="15" t="s">
        <v>29</v>
      </c>
    </row>
    <row r="361" spans="1:14">
      <c r="A361" s="21" t="s">
        <v>54</v>
      </c>
      <c r="B361" s="18">
        <v>24374</v>
      </c>
      <c r="C361" s="19" t="s">
        <v>1125</v>
      </c>
      <c r="D361" s="18">
        <v>10692</v>
      </c>
      <c r="E361" s="19" t="s">
        <v>1150</v>
      </c>
      <c r="F361" s="19" t="s">
        <v>1220</v>
      </c>
      <c r="G361" s="5"/>
      <c r="H361" s="19" t="s">
        <v>759</v>
      </c>
      <c r="I361" s="19" t="s">
        <v>34</v>
      </c>
      <c r="J361" s="19" t="s">
        <v>770</v>
      </c>
      <c r="K361" s="18">
        <v>465750</v>
      </c>
      <c r="L361" s="26" t="s">
        <v>1254</v>
      </c>
      <c r="M361" s="18">
        <v>549585</v>
      </c>
      <c r="N361" s="19" t="s">
        <v>29</v>
      </c>
    </row>
    <row r="362" spans="1:14">
      <c r="A362" s="21" t="s">
        <v>54</v>
      </c>
      <c r="B362" s="18">
        <v>29313</v>
      </c>
      <c r="C362" s="19" t="s">
        <v>1126</v>
      </c>
      <c r="D362" s="18">
        <v>10703</v>
      </c>
      <c r="E362" s="19" t="s">
        <v>1151</v>
      </c>
      <c r="F362" s="19" t="s">
        <v>1221</v>
      </c>
      <c r="G362" s="5"/>
      <c r="H362" s="19" t="s">
        <v>763</v>
      </c>
      <c r="I362" s="19" t="s">
        <v>34</v>
      </c>
      <c r="J362" s="19" t="s">
        <v>770</v>
      </c>
      <c r="K362" s="18">
        <v>3155</v>
      </c>
      <c r="L362" s="26" t="s">
        <v>1255</v>
      </c>
      <c r="M362" s="18">
        <v>3722.9</v>
      </c>
      <c r="N362" s="19" t="s">
        <v>29</v>
      </c>
    </row>
    <row r="363" spans="1:14">
      <c r="A363" s="21" t="s">
        <v>54</v>
      </c>
      <c r="B363" s="18">
        <v>28628</v>
      </c>
      <c r="C363" s="19" t="s">
        <v>131</v>
      </c>
      <c r="D363" s="18">
        <v>10429</v>
      </c>
      <c r="E363" s="19" t="s">
        <v>417</v>
      </c>
      <c r="F363" s="19" t="s">
        <v>695</v>
      </c>
      <c r="G363" s="5"/>
      <c r="H363" s="19" t="s">
        <v>755</v>
      </c>
      <c r="I363" s="19" t="s">
        <v>34</v>
      </c>
      <c r="J363" s="19" t="s">
        <v>770</v>
      </c>
      <c r="K363" s="18">
        <v>76314134.030000001</v>
      </c>
      <c r="L363" s="26" t="s">
        <v>1256</v>
      </c>
      <c r="M363" s="18">
        <v>90050678.170000002</v>
      </c>
      <c r="N363" s="19" t="s">
        <v>30</v>
      </c>
    </row>
    <row r="364" spans="1:14">
      <c r="A364" s="21" t="s">
        <v>54</v>
      </c>
      <c r="B364" s="18">
        <v>2574</v>
      </c>
      <c r="C364" s="19" t="s">
        <v>135</v>
      </c>
      <c r="D364" s="18">
        <v>10722</v>
      </c>
      <c r="E364" s="19" t="s">
        <v>1152</v>
      </c>
      <c r="F364" s="19" t="s">
        <v>1222</v>
      </c>
      <c r="G364" s="5"/>
      <c r="H364" s="19" t="s">
        <v>763</v>
      </c>
      <c r="I364" s="19" t="s">
        <v>34</v>
      </c>
      <c r="J364" s="19" t="s">
        <v>770</v>
      </c>
      <c r="K364" s="18">
        <v>984</v>
      </c>
      <c r="L364" s="26" t="s">
        <v>1257</v>
      </c>
      <c r="M364" s="18">
        <v>1161.1199999999999</v>
      </c>
      <c r="N364" s="19" t="s">
        <v>29</v>
      </c>
    </row>
    <row r="365" spans="1:14">
      <c r="A365" s="21" t="s">
        <v>54</v>
      </c>
      <c r="B365" s="18">
        <v>23377</v>
      </c>
      <c r="C365" s="19" t="s">
        <v>137</v>
      </c>
      <c r="D365" s="18">
        <v>10579</v>
      </c>
      <c r="E365" s="19" t="s">
        <v>1153</v>
      </c>
      <c r="F365" s="19" t="s">
        <v>630</v>
      </c>
      <c r="G365" s="5"/>
      <c r="H365" s="19" t="s">
        <v>755</v>
      </c>
      <c r="I365" s="19" t="s">
        <v>34</v>
      </c>
      <c r="J365" s="19" t="s">
        <v>770</v>
      </c>
      <c r="K365" s="18">
        <v>6182534.9000000004</v>
      </c>
      <c r="L365" s="26" t="s">
        <v>1258</v>
      </c>
      <c r="M365" s="18">
        <v>7295391.1799999997</v>
      </c>
      <c r="N365" s="19" t="s">
        <v>28</v>
      </c>
    </row>
    <row r="366" spans="1:14">
      <c r="A366" s="21" t="s">
        <v>54</v>
      </c>
      <c r="B366" s="18">
        <v>23377</v>
      </c>
      <c r="C366" s="19" t="s">
        <v>137</v>
      </c>
      <c r="D366" s="18">
        <v>10336</v>
      </c>
      <c r="E366" s="19" t="s">
        <v>1154</v>
      </c>
      <c r="F366" s="19" t="s">
        <v>677</v>
      </c>
      <c r="G366" s="5"/>
      <c r="H366" s="19" t="s">
        <v>755</v>
      </c>
      <c r="I366" s="19" t="s">
        <v>34</v>
      </c>
      <c r="J366" s="19" t="s">
        <v>770</v>
      </c>
      <c r="K366" s="18">
        <v>6182188.8099999996</v>
      </c>
      <c r="L366" s="26" t="s">
        <v>1259</v>
      </c>
      <c r="M366" s="18">
        <v>7261588.04</v>
      </c>
      <c r="N366" s="19" t="s">
        <v>28</v>
      </c>
    </row>
    <row r="367" spans="1:14">
      <c r="A367" s="21" t="s">
        <v>54</v>
      </c>
      <c r="B367" s="18">
        <v>340</v>
      </c>
      <c r="C367" s="19" t="s">
        <v>1127</v>
      </c>
      <c r="D367" s="18">
        <v>10596</v>
      </c>
      <c r="E367" s="19" t="s">
        <v>1155</v>
      </c>
      <c r="F367" s="19" t="s">
        <v>653</v>
      </c>
      <c r="G367" s="5"/>
      <c r="H367" s="19" t="s">
        <v>754</v>
      </c>
      <c r="I367" s="19" t="s">
        <v>34</v>
      </c>
      <c r="J367" s="19" t="s">
        <v>770</v>
      </c>
      <c r="K367" s="18">
        <v>2327255.35</v>
      </c>
      <c r="L367" s="26" t="s">
        <v>1260</v>
      </c>
      <c r="M367" s="18">
        <v>2746161.32</v>
      </c>
      <c r="N367" s="19" t="s">
        <v>29</v>
      </c>
    </row>
    <row r="368" spans="1:14">
      <c r="A368" s="21" t="s">
        <v>54</v>
      </c>
      <c r="B368" s="18">
        <v>28582</v>
      </c>
      <c r="C368" s="19" t="s">
        <v>1128</v>
      </c>
      <c r="D368" s="18">
        <v>10669</v>
      </c>
      <c r="E368" s="19" t="s">
        <v>1156</v>
      </c>
      <c r="F368" s="19" t="s">
        <v>1223</v>
      </c>
      <c r="G368" s="5"/>
      <c r="H368" s="19" t="s">
        <v>759</v>
      </c>
      <c r="I368" s="19" t="s">
        <v>34</v>
      </c>
      <c r="J368" s="19" t="s">
        <v>770</v>
      </c>
      <c r="K368" s="18">
        <v>1810000</v>
      </c>
      <c r="L368" s="26" t="s">
        <v>1261</v>
      </c>
      <c r="M368" s="18">
        <v>2135800</v>
      </c>
      <c r="N368" s="19" t="s">
        <v>29</v>
      </c>
    </row>
    <row r="369" spans="1:14">
      <c r="A369" s="21" t="s">
        <v>54</v>
      </c>
      <c r="B369" s="18">
        <v>2609</v>
      </c>
      <c r="C369" s="19" t="s">
        <v>140</v>
      </c>
      <c r="D369" s="18">
        <v>10710</v>
      </c>
      <c r="E369" s="19" t="s">
        <v>1157</v>
      </c>
      <c r="F369" s="19" t="s">
        <v>1224</v>
      </c>
      <c r="G369" s="5"/>
      <c r="H369" s="19" t="s">
        <v>763</v>
      </c>
      <c r="I369" s="19" t="s">
        <v>34</v>
      </c>
      <c r="J369" s="19" t="s">
        <v>770</v>
      </c>
      <c r="K369" s="18">
        <v>849042</v>
      </c>
      <c r="L369" s="26" t="s">
        <v>1262</v>
      </c>
      <c r="M369" s="18">
        <v>1001869.56</v>
      </c>
      <c r="N369" s="19" t="s">
        <v>29</v>
      </c>
    </row>
    <row r="370" spans="1:14">
      <c r="A370" s="21" t="s">
        <v>54</v>
      </c>
      <c r="B370" s="18">
        <v>1469</v>
      </c>
      <c r="C370" s="19" t="s">
        <v>1129</v>
      </c>
      <c r="D370" s="18">
        <v>10690</v>
      </c>
      <c r="E370" s="19" t="s">
        <v>1158</v>
      </c>
      <c r="F370" s="19" t="s">
        <v>1225</v>
      </c>
      <c r="G370" s="5"/>
      <c r="H370" s="19" t="s">
        <v>754</v>
      </c>
      <c r="I370" s="19" t="s">
        <v>34</v>
      </c>
      <c r="J370" s="19" t="s">
        <v>770</v>
      </c>
      <c r="K370" s="18">
        <v>581996</v>
      </c>
      <c r="L370" s="26" t="s">
        <v>1263</v>
      </c>
      <c r="M370" s="18">
        <v>686755.28</v>
      </c>
      <c r="N370" s="19" t="s">
        <v>29</v>
      </c>
    </row>
    <row r="371" spans="1:14">
      <c r="A371" s="21" t="s">
        <v>54</v>
      </c>
      <c r="B371" s="18">
        <v>1006</v>
      </c>
      <c r="C371" s="19" t="s">
        <v>132</v>
      </c>
      <c r="D371" s="18">
        <v>7865</v>
      </c>
      <c r="E371" s="19" t="s">
        <v>421</v>
      </c>
      <c r="F371" s="19" t="s">
        <v>698</v>
      </c>
      <c r="G371" s="5"/>
      <c r="H371" s="19" t="s">
        <v>758</v>
      </c>
      <c r="I371" s="19" t="s">
        <v>768</v>
      </c>
      <c r="J371" s="19" t="s">
        <v>770</v>
      </c>
      <c r="K371" s="18">
        <v>27523698.02</v>
      </c>
      <c r="L371" s="26" t="s">
        <v>1264</v>
      </c>
      <c r="M371" s="18">
        <v>32483672.93</v>
      </c>
      <c r="N371" s="19" t="s">
        <v>29</v>
      </c>
    </row>
    <row r="372" spans="1:14">
      <c r="A372" s="21" t="s">
        <v>54</v>
      </c>
      <c r="B372" s="18">
        <v>1006</v>
      </c>
      <c r="C372" s="19" t="s">
        <v>132</v>
      </c>
      <c r="D372" s="18">
        <v>7844</v>
      </c>
      <c r="E372" s="19" t="s">
        <v>419</v>
      </c>
      <c r="F372" s="19" t="s">
        <v>696</v>
      </c>
      <c r="G372" s="5"/>
      <c r="H372" s="19" t="s">
        <v>758</v>
      </c>
      <c r="I372" s="19" t="s">
        <v>768</v>
      </c>
      <c r="J372" s="19" t="s">
        <v>771</v>
      </c>
      <c r="K372" s="18">
        <v>208103611.80000001</v>
      </c>
      <c r="L372" s="26" t="s">
        <v>1265</v>
      </c>
      <c r="M372" s="18">
        <v>242194842.15000001</v>
      </c>
      <c r="N372" s="19" t="s">
        <v>29</v>
      </c>
    </row>
    <row r="373" spans="1:14">
      <c r="A373" s="21" t="s">
        <v>54</v>
      </c>
      <c r="B373" s="18">
        <v>19365</v>
      </c>
      <c r="C373" s="19" t="s">
        <v>1130</v>
      </c>
      <c r="D373" s="18">
        <v>10668</v>
      </c>
      <c r="E373" s="19" t="s">
        <v>1156</v>
      </c>
      <c r="F373" s="19" t="s">
        <v>1223</v>
      </c>
      <c r="G373" s="5"/>
      <c r="H373" s="19" t="s">
        <v>759</v>
      </c>
      <c r="I373" s="19" t="s">
        <v>34</v>
      </c>
      <c r="J373" s="19" t="s">
        <v>770</v>
      </c>
      <c r="K373" s="18">
        <v>245000</v>
      </c>
      <c r="L373" s="26" t="s">
        <v>1266</v>
      </c>
      <c r="M373" s="18">
        <v>289100</v>
      </c>
      <c r="N373" s="19" t="s">
        <v>29</v>
      </c>
    </row>
    <row r="374" spans="1:14">
      <c r="A374" s="21" t="s">
        <v>54</v>
      </c>
      <c r="B374" s="18">
        <v>3044</v>
      </c>
      <c r="C374" s="19" t="s">
        <v>143</v>
      </c>
      <c r="D374" s="18">
        <v>10673</v>
      </c>
      <c r="E374" s="19" t="s">
        <v>1159</v>
      </c>
      <c r="F374" s="19" t="s">
        <v>1226</v>
      </c>
      <c r="G374" s="5"/>
      <c r="H374" s="19" t="s">
        <v>754</v>
      </c>
      <c r="I374" s="19" t="s">
        <v>34</v>
      </c>
      <c r="J374" s="19" t="s">
        <v>770</v>
      </c>
      <c r="K374" s="18">
        <v>101400</v>
      </c>
      <c r="L374" s="26" t="s">
        <v>1267</v>
      </c>
      <c r="M374" s="18">
        <v>119652</v>
      </c>
      <c r="N374" s="19" t="s">
        <v>29</v>
      </c>
    </row>
    <row r="375" spans="1:14">
      <c r="A375" s="21" t="s">
        <v>54</v>
      </c>
      <c r="B375" s="18">
        <v>3044</v>
      </c>
      <c r="C375" s="19" t="s">
        <v>143</v>
      </c>
      <c r="D375" s="18">
        <v>10718</v>
      </c>
      <c r="E375" s="19" t="s">
        <v>1160</v>
      </c>
      <c r="F375" s="19" t="s">
        <v>1227</v>
      </c>
      <c r="G375" s="5"/>
      <c r="H375" s="19" t="s">
        <v>762</v>
      </c>
      <c r="I375" s="19" t="s">
        <v>34</v>
      </c>
      <c r="J375" s="19" t="s">
        <v>770</v>
      </c>
      <c r="K375" s="18">
        <v>154742</v>
      </c>
      <c r="L375" s="26" t="s">
        <v>1268</v>
      </c>
      <c r="M375" s="18">
        <v>182595.56</v>
      </c>
      <c r="N375" s="19" t="s">
        <v>29</v>
      </c>
    </row>
    <row r="376" spans="1:14">
      <c r="A376" s="21" t="s">
        <v>54</v>
      </c>
      <c r="B376" s="18">
        <v>3044</v>
      </c>
      <c r="C376" s="19" t="s">
        <v>143</v>
      </c>
      <c r="D376" s="18">
        <v>10660</v>
      </c>
      <c r="E376" s="19" t="s">
        <v>1161</v>
      </c>
      <c r="F376" s="19" t="s">
        <v>1228</v>
      </c>
      <c r="G376" s="5"/>
      <c r="H376" s="19" t="s">
        <v>754</v>
      </c>
      <c r="I376" s="19" t="s">
        <v>34</v>
      </c>
      <c r="J376" s="19" t="s">
        <v>770</v>
      </c>
      <c r="K376" s="18">
        <v>651000</v>
      </c>
      <c r="L376" s="26" t="s">
        <v>1269</v>
      </c>
      <c r="M376" s="18">
        <v>783543.6</v>
      </c>
      <c r="N376" s="19" t="s">
        <v>40</v>
      </c>
    </row>
    <row r="377" spans="1:14">
      <c r="A377" s="21" t="s">
        <v>54</v>
      </c>
      <c r="B377" s="18">
        <v>3044</v>
      </c>
      <c r="C377" s="19" t="s">
        <v>143</v>
      </c>
      <c r="D377" s="18">
        <v>10645</v>
      </c>
      <c r="E377" s="19" t="s">
        <v>1162</v>
      </c>
      <c r="F377" s="19" t="s">
        <v>1229</v>
      </c>
      <c r="G377" s="5"/>
      <c r="H377" s="19" t="s">
        <v>754</v>
      </c>
      <c r="I377" s="19" t="s">
        <v>34</v>
      </c>
      <c r="J377" s="19" t="s">
        <v>770</v>
      </c>
      <c r="K377" s="18">
        <v>770000</v>
      </c>
      <c r="L377" s="26" t="s">
        <v>1270</v>
      </c>
      <c r="M377" s="18">
        <v>908600</v>
      </c>
      <c r="N377" s="19" t="s">
        <v>40</v>
      </c>
    </row>
    <row r="378" spans="1:14">
      <c r="A378" s="21" t="s">
        <v>54</v>
      </c>
      <c r="B378" s="18">
        <v>816</v>
      </c>
      <c r="C378" s="19" t="s">
        <v>1131</v>
      </c>
      <c r="D378" s="18">
        <v>9931</v>
      </c>
      <c r="E378" s="19" t="s">
        <v>1163</v>
      </c>
      <c r="F378" s="19" t="s">
        <v>1230</v>
      </c>
      <c r="G378" s="5"/>
      <c r="H378" s="19" t="s">
        <v>758</v>
      </c>
      <c r="I378" s="19" t="s">
        <v>768</v>
      </c>
      <c r="J378" s="19" t="s">
        <v>770</v>
      </c>
      <c r="K378" s="18">
        <v>30000000</v>
      </c>
      <c r="L378" s="26"/>
      <c r="M378" s="18">
        <v>30000000</v>
      </c>
      <c r="N378" s="19" t="s">
        <v>29</v>
      </c>
    </row>
    <row r="379" spans="1:14">
      <c r="A379" s="21" t="s">
        <v>54</v>
      </c>
      <c r="B379" s="18">
        <v>23348</v>
      </c>
      <c r="C379" s="19" t="s">
        <v>144</v>
      </c>
      <c r="D379" s="18">
        <v>10607</v>
      </c>
      <c r="E379" s="19" t="s">
        <v>296</v>
      </c>
      <c r="F379" s="19" t="s">
        <v>668</v>
      </c>
      <c r="G379" s="5"/>
      <c r="H379" s="19" t="s">
        <v>761</v>
      </c>
      <c r="I379" s="19" t="s">
        <v>768</v>
      </c>
      <c r="J379" s="19" t="s">
        <v>770</v>
      </c>
      <c r="K379" s="18">
        <v>17591851</v>
      </c>
      <c r="L379" s="26" t="s">
        <v>1271</v>
      </c>
      <c r="M379" s="18">
        <v>19702873.120000001</v>
      </c>
      <c r="N379" s="19" t="s">
        <v>28</v>
      </c>
    </row>
    <row r="380" spans="1:14">
      <c r="A380" s="21" t="s">
        <v>54</v>
      </c>
      <c r="B380" s="18">
        <v>25911</v>
      </c>
      <c r="C380" s="19" t="s">
        <v>151</v>
      </c>
      <c r="D380" s="18">
        <v>7634</v>
      </c>
      <c r="E380" s="19" t="s">
        <v>448</v>
      </c>
      <c r="F380" s="19" t="s">
        <v>713</v>
      </c>
      <c r="G380" s="5"/>
      <c r="H380" s="19" t="s">
        <v>751</v>
      </c>
      <c r="I380" s="19" t="s">
        <v>765</v>
      </c>
      <c r="J380" s="19" t="s">
        <v>770</v>
      </c>
      <c r="K380" s="18">
        <v>1557427876.6589999</v>
      </c>
      <c r="L380" s="26" t="s">
        <v>1272</v>
      </c>
      <c r="M380" s="18">
        <v>1837764894.4389999</v>
      </c>
      <c r="N380" s="19" t="s">
        <v>28</v>
      </c>
    </row>
    <row r="381" spans="1:14">
      <c r="A381" s="21" t="s">
        <v>54</v>
      </c>
      <c r="B381" s="18">
        <v>25911</v>
      </c>
      <c r="C381" s="19" t="s">
        <v>151</v>
      </c>
      <c r="D381" s="18">
        <v>7934</v>
      </c>
      <c r="E381" s="19" t="s">
        <v>447</v>
      </c>
      <c r="F381" s="19" t="s">
        <v>712</v>
      </c>
      <c r="G381" s="5"/>
      <c r="H381" s="19" t="s">
        <v>751</v>
      </c>
      <c r="I381" s="19" t="s">
        <v>765</v>
      </c>
      <c r="J381" s="19" t="s">
        <v>770</v>
      </c>
      <c r="K381" s="18">
        <v>1285922779.5799999</v>
      </c>
      <c r="L381" s="26" t="s">
        <v>1273</v>
      </c>
      <c r="M381" s="18">
        <v>1517388879.8599999</v>
      </c>
      <c r="N381" s="19" t="s">
        <v>28</v>
      </c>
    </row>
    <row r="382" spans="1:14">
      <c r="A382" s="21" t="s">
        <v>54</v>
      </c>
      <c r="B382" s="18">
        <v>25911</v>
      </c>
      <c r="C382" s="19" t="s">
        <v>151</v>
      </c>
      <c r="D382" s="18">
        <v>7899</v>
      </c>
      <c r="E382" s="19" t="s">
        <v>449</v>
      </c>
      <c r="F382" s="19" t="s">
        <v>714</v>
      </c>
      <c r="G382" s="5"/>
      <c r="H382" s="19" t="s">
        <v>751</v>
      </c>
      <c r="I382" s="19" t="s">
        <v>765</v>
      </c>
      <c r="J382" s="19" t="s">
        <v>770</v>
      </c>
      <c r="K382" s="18">
        <v>3333634207.5</v>
      </c>
      <c r="L382" s="26" t="s">
        <v>1274</v>
      </c>
      <c r="M382" s="18">
        <v>3933688364.8400002</v>
      </c>
      <c r="N382" s="19" t="s">
        <v>28</v>
      </c>
    </row>
    <row r="383" spans="1:14">
      <c r="A383" s="21" t="s">
        <v>54</v>
      </c>
      <c r="B383" s="18">
        <v>1611</v>
      </c>
      <c r="C383" s="19" t="s">
        <v>1132</v>
      </c>
      <c r="D383" s="18">
        <v>10648</v>
      </c>
      <c r="E383" s="19" t="s">
        <v>1164</v>
      </c>
      <c r="F383" s="19" t="s">
        <v>1231</v>
      </c>
      <c r="G383" s="5"/>
      <c r="H383" s="19" t="s">
        <v>762</v>
      </c>
      <c r="I383" s="19" t="s">
        <v>34</v>
      </c>
      <c r="J383" s="19" t="s">
        <v>770</v>
      </c>
      <c r="K383" s="18">
        <v>119141</v>
      </c>
      <c r="L383" s="26" t="s">
        <v>1275</v>
      </c>
      <c r="M383" s="18">
        <v>140586.38</v>
      </c>
      <c r="N383" s="19" t="s">
        <v>29</v>
      </c>
    </row>
    <row r="384" spans="1:14">
      <c r="A384" s="21" t="s">
        <v>54</v>
      </c>
      <c r="B384" s="18">
        <v>520</v>
      </c>
      <c r="C384" s="19" t="s">
        <v>64</v>
      </c>
      <c r="D384" s="18">
        <v>10656</v>
      </c>
      <c r="E384" s="19" t="s">
        <v>234</v>
      </c>
      <c r="F384" s="19" t="s">
        <v>1232</v>
      </c>
      <c r="G384" s="5"/>
      <c r="H384" s="19" t="s">
        <v>755</v>
      </c>
      <c r="I384" s="19" t="s">
        <v>34</v>
      </c>
      <c r="J384" s="19" t="s">
        <v>770</v>
      </c>
      <c r="K384" s="18">
        <v>2518195</v>
      </c>
      <c r="L384" s="26" t="s">
        <v>1276</v>
      </c>
      <c r="M384" s="18">
        <v>2971470.1</v>
      </c>
      <c r="N384" s="19" t="s">
        <v>28</v>
      </c>
    </row>
    <row r="385" spans="1:14">
      <c r="A385" s="21" t="s">
        <v>54</v>
      </c>
      <c r="B385" s="18">
        <v>1247</v>
      </c>
      <c r="C385" s="19" t="s">
        <v>70</v>
      </c>
      <c r="D385" s="18">
        <v>10512</v>
      </c>
      <c r="E385" s="19" t="s">
        <v>1165</v>
      </c>
      <c r="F385" s="19" t="s">
        <v>723</v>
      </c>
      <c r="G385" s="5"/>
      <c r="H385" s="19" t="s">
        <v>755</v>
      </c>
      <c r="I385" s="19" t="s">
        <v>34</v>
      </c>
      <c r="J385" s="19" t="s">
        <v>770</v>
      </c>
      <c r="K385" s="18">
        <v>428076</v>
      </c>
      <c r="L385" s="26" t="s">
        <v>1277</v>
      </c>
      <c r="M385" s="18">
        <v>505129.68</v>
      </c>
      <c r="N385" s="19" t="s">
        <v>38</v>
      </c>
    </row>
    <row r="386" spans="1:14">
      <c r="A386" s="21" t="s">
        <v>54</v>
      </c>
      <c r="B386" s="18">
        <v>28718</v>
      </c>
      <c r="C386" s="19" t="s">
        <v>1133</v>
      </c>
      <c r="D386" s="18">
        <v>10678</v>
      </c>
      <c r="E386" s="19" t="s">
        <v>1166</v>
      </c>
      <c r="F386" s="19" t="s">
        <v>1233</v>
      </c>
      <c r="G386" s="5"/>
      <c r="H386" s="19" t="s">
        <v>759</v>
      </c>
      <c r="I386" s="19" t="s">
        <v>34</v>
      </c>
      <c r="J386" s="19" t="s">
        <v>770</v>
      </c>
      <c r="K386" s="18">
        <v>528000</v>
      </c>
      <c r="L386" s="26" t="s">
        <v>1278</v>
      </c>
      <c r="M386" s="18">
        <v>675840</v>
      </c>
      <c r="N386" s="19" t="s">
        <v>29</v>
      </c>
    </row>
    <row r="387" spans="1:14">
      <c r="A387" s="21" t="s">
        <v>54</v>
      </c>
      <c r="B387" s="18">
        <v>1648</v>
      </c>
      <c r="C387" s="19" t="s">
        <v>78</v>
      </c>
      <c r="D387" s="18">
        <v>10653</v>
      </c>
      <c r="E387" s="19" t="s">
        <v>1167</v>
      </c>
      <c r="F387" s="19" t="s">
        <v>1234</v>
      </c>
      <c r="G387" s="5"/>
      <c r="H387" s="19" t="s">
        <v>33</v>
      </c>
      <c r="I387" s="19" t="s">
        <v>34</v>
      </c>
      <c r="J387" s="19" t="s">
        <v>770</v>
      </c>
      <c r="K387" s="18">
        <v>286650</v>
      </c>
      <c r="L387" s="26" t="s">
        <v>1279</v>
      </c>
      <c r="M387" s="18">
        <v>338247</v>
      </c>
      <c r="N387" s="19" t="s">
        <v>28</v>
      </c>
    </row>
    <row r="388" spans="1:14">
      <c r="A388" s="21" t="s">
        <v>54</v>
      </c>
      <c r="B388" s="18">
        <v>1648</v>
      </c>
      <c r="C388" s="19" t="s">
        <v>78</v>
      </c>
      <c r="D388" s="18">
        <v>10296</v>
      </c>
      <c r="E388" s="19" t="s">
        <v>266</v>
      </c>
      <c r="F388" s="19" t="s">
        <v>580</v>
      </c>
      <c r="G388" s="5"/>
      <c r="H388" s="19" t="s">
        <v>755</v>
      </c>
      <c r="I388" s="19" t="s">
        <v>34</v>
      </c>
      <c r="J388" s="19" t="s">
        <v>770</v>
      </c>
      <c r="K388" s="18">
        <v>3127609.5</v>
      </c>
      <c r="L388" s="26" t="s">
        <v>1280</v>
      </c>
      <c r="M388" s="18">
        <v>3690579.22</v>
      </c>
      <c r="N388" s="19" t="s">
        <v>28</v>
      </c>
    </row>
    <row r="389" spans="1:14">
      <c r="A389" s="21" t="s">
        <v>54</v>
      </c>
      <c r="B389" s="18">
        <v>24604</v>
      </c>
      <c r="C389" s="19" t="s">
        <v>79</v>
      </c>
      <c r="D389" s="18">
        <v>10635</v>
      </c>
      <c r="E389" s="19" t="s">
        <v>1168</v>
      </c>
      <c r="F389" s="19" t="s">
        <v>673</v>
      </c>
      <c r="G389" s="5"/>
      <c r="H389" s="19" t="s">
        <v>753</v>
      </c>
      <c r="I389" s="19" t="s">
        <v>34</v>
      </c>
      <c r="J389" s="19" t="s">
        <v>771</v>
      </c>
      <c r="K389" s="18">
        <v>88492745.599999994</v>
      </c>
      <c r="L389" s="26" t="s">
        <v>1281</v>
      </c>
      <c r="M389" s="18">
        <v>105214399.8</v>
      </c>
      <c r="N389" s="19" t="s">
        <v>29</v>
      </c>
    </row>
    <row r="390" spans="1:14">
      <c r="A390" s="21" t="s">
        <v>54</v>
      </c>
      <c r="B390" s="18">
        <v>18546</v>
      </c>
      <c r="C390" s="19" t="s">
        <v>46</v>
      </c>
      <c r="D390" s="18">
        <v>10584</v>
      </c>
      <c r="E390" s="19" t="s">
        <v>1169</v>
      </c>
      <c r="F390" s="19" t="s">
        <v>737</v>
      </c>
      <c r="G390" s="5"/>
      <c r="H390" s="19" t="s">
        <v>762</v>
      </c>
      <c r="I390" s="19" t="s">
        <v>34</v>
      </c>
      <c r="J390" s="19" t="s">
        <v>770</v>
      </c>
      <c r="K390" s="18">
        <v>41220</v>
      </c>
      <c r="L390" s="26" t="s">
        <v>1282</v>
      </c>
      <c r="M390" s="18">
        <v>48639.6</v>
      </c>
      <c r="N390" s="19" t="s">
        <v>29</v>
      </c>
    </row>
    <row r="391" spans="1:14">
      <c r="A391" s="21" t="s">
        <v>54</v>
      </c>
      <c r="B391" s="18">
        <v>18546</v>
      </c>
      <c r="C391" s="19" t="s">
        <v>46</v>
      </c>
      <c r="D391" s="18">
        <v>10666</v>
      </c>
      <c r="E391" s="19" t="s">
        <v>1170</v>
      </c>
      <c r="F391" s="19" t="s">
        <v>1235</v>
      </c>
      <c r="G391" s="5"/>
      <c r="H391" s="19" t="s">
        <v>759</v>
      </c>
      <c r="I391" s="19" t="s">
        <v>34</v>
      </c>
      <c r="J391" s="19" t="s">
        <v>770</v>
      </c>
      <c r="K391" s="18">
        <v>119060</v>
      </c>
      <c r="L391" s="26" t="s">
        <v>1283</v>
      </c>
      <c r="M391" s="18">
        <v>140490.79999999999</v>
      </c>
      <c r="N391" s="19" t="s">
        <v>29</v>
      </c>
    </row>
    <row r="392" spans="1:14">
      <c r="A392" s="21" t="s">
        <v>54</v>
      </c>
      <c r="B392" s="18">
        <v>18546</v>
      </c>
      <c r="C392" s="19" t="s">
        <v>46</v>
      </c>
      <c r="D392" s="18">
        <v>10654</v>
      </c>
      <c r="E392" s="19" t="s">
        <v>1171</v>
      </c>
      <c r="F392" s="19" t="s">
        <v>1234</v>
      </c>
      <c r="G392" s="5"/>
      <c r="H392" s="19" t="s">
        <v>757</v>
      </c>
      <c r="I392" s="19" t="s">
        <v>767</v>
      </c>
      <c r="J392" s="19" t="s">
        <v>770</v>
      </c>
      <c r="K392" s="18">
        <v>158000</v>
      </c>
      <c r="L392" s="26" t="s">
        <v>1284</v>
      </c>
      <c r="M392" s="18">
        <v>202240</v>
      </c>
      <c r="N392" s="19" t="s">
        <v>29</v>
      </c>
    </row>
    <row r="393" spans="1:14">
      <c r="A393" s="21" t="s">
        <v>54</v>
      </c>
      <c r="B393" s="18">
        <v>18546</v>
      </c>
      <c r="C393" s="19" t="s">
        <v>46</v>
      </c>
      <c r="D393" s="18">
        <v>10658</v>
      </c>
      <c r="E393" s="19" t="s">
        <v>1172</v>
      </c>
      <c r="F393" s="19" t="s">
        <v>1228</v>
      </c>
      <c r="G393" s="5"/>
      <c r="H393" s="19" t="s">
        <v>756</v>
      </c>
      <c r="I393" s="19" t="s">
        <v>767</v>
      </c>
      <c r="J393" s="19" t="s">
        <v>770</v>
      </c>
      <c r="K393" s="18">
        <v>252755</v>
      </c>
      <c r="L393" s="26" t="s">
        <v>1285</v>
      </c>
      <c r="M393" s="18">
        <v>298250.90000000002</v>
      </c>
      <c r="N393" s="19" t="s">
        <v>29</v>
      </c>
    </row>
    <row r="394" spans="1:14">
      <c r="A394" s="21" t="s">
        <v>54</v>
      </c>
      <c r="B394" s="18">
        <v>18546</v>
      </c>
      <c r="C394" s="19" t="s">
        <v>46</v>
      </c>
      <c r="D394" s="18">
        <v>10641</v>
      </c>
      <c r="E394" s="19" t="s">
        <v>1173</v>
      </c>
      <c r="F394" s="19" t="s">
        <v>557</v>
      </c>
      <c r="G394" s="5"/>
      <c r="H394" s="19" t="s">
        <v>762</v>
      </c>
      <c r="I394" s="19" t="s">
        <v>34</v>
      </c>
      <c r="J394" s="19" t="s">
        <v>770</v>
      </c>
      <c r="K394" s="18">
        <v>1018800</v>
      </c>
      <c r="L394" s="26" t="s">
        <v>1286</v>
      </c>
      <c r="M394" s="18">
        <v>1202184</v>
      </c>
      <c r="N394" s="19" t="s">
        <v>29</v>
      </c>
    </row>
    <row r="395" spans="1:14">
      <c r="A395" s="21" t="s">
        <v>54</v>
      </c>
      <c r="B395" s="18">
        <v>18546</v>
      </c>
      <c r="C395" s="19" t="s">
        <v>46</v>
      </c>
      <c r="D395" s="18">
        <v>10682</v>
      </c>
      <c r="E395" s="19" t="s">
        <v>1174</v>
      </c>
      <c r="F395" s="19" t="s">
        <v>1236</v>
      </c>
      <c r="G395" s="5"/>
      <c r="H395" s="19" t="s">
        <v>759</v>
      </c>
      <c r="I395" s="19" t="s">
        <v>34</v>
      </c>
      <c r="J395" s="19" t="s">
        <v>770</v>
      </c>
      <c r="K395" s="18">
        <v>16150</v>
      </c>
      <c r="L395" s="26" t="s">
        <v>1287</v>
      </c>
      <c r="M395" s="18">
        <v>19057</v>
      </c>
      <c r="N395" s="19" t="s">
        <v>29</v>
      </c>
    </row>
    <row r="396" spans="1:14">
      <c r="A396" s="21" t="s">
        <v>54</v>
      </c>
      <c r="B396" s="18">
        <v>18546</v>
      </c>
      <c r="C396" s="19" t="s">
        <v>46</v>
      </c>
      <c r="D396" s="18">
        <v>10691</v>
      </c>
      <c r="E396" s="19" t="s">
        <v>1175</v>
      </c>
      <c r="F396" s="19" t="s">
        <v>1237</v>
      </c>
      <c r="G396" s="5"/>
      <c r="H396" s="19" t="s">
        <v>759</v>
      </c>
      <c r="I396" s="19" t="s">
        <v>34</v>
      </c>
      <c r="J396" s="19" t="s">
        <v>770</v>
      </c>
      <c r="K396" s="18">
        <v>364100</v>
      </c>
      <c r="L396" s="26" t="s">
        <v>1288</v>
      </c>
      <c r="M396" s="18">
        <v>429638</v>
      </c>
      <c r="N396" s="19" t="s">
        <v>29</v>
      </c>
    </row>
    <row r="397" spans="1:14">
      <c r="A397" s="21" t="s">
        <v>54</v>
      </c>
      <c r="B397" s="18">
        <v>18546</v>
      </c>
      <c r="C397" s="19" t="s">
        <v>46</v>
      </c>
      <c r="D397" s="18">
        <v>10637</v>
      </c>
      <c r="E397" s="19" t="s">
        <v>387</v>
      </c>
      <c r="F397" s="19" t="s">
        <v>673</v>
      </c>
      <c r="G397" s="5"/>
      <c r="H397" s="19" t="s">
        <v>756</v>
      </c>
      <c r="I397" s="19" t="s">
        <v>767</v>
      </c>
      <c r="J397" s="19" t="s">
        <v>770</v>
      </c>
      <c r="K397" s="18">
        <v>51416</v>
      </c>
      <c r="L397" s="26" t="s">
        <v>1289</v>
      </c>
      <c r="M397" s="18">
        <v>60670.879999999997</v>
      </c>
      <c r="N397" s="19" t="s">
        <v>29</v>
      </c>
    </row>
    <row r="398" spans="1:14">
      <c r="A398" s="21" t="s">
        <v>54</v>
      </c>
      <c r="B398" s="18">
        <v>18546</v>
      </c>
      <c r="C398" s="19" t="s">
        <v>46</v>
      </c>
      <c r="D398" s="18">
        <v>10675</v>
      </c>
      <c r="E398" s="19" t="s">
        <v>1176</v>
      </c>
      <c r="F398" s="19" t="s">
        <v>1226</v>
      </c>
      <c r="G398" s="5"/>
      <c r="H398" s="19" t="s">
        <v>759</v>
      </c>
      <c r="I398" s="19" t="s">
        <v>34</v>
      </c>
      <c r="J398" s="19" t="s">
        <v>770</v>
      </c>
      <c r="K398" s="18">
        <v>17450</v>
      </c>
      <c r="L398" s="26" t="s">
        <v>1290</v>
      </c>
      <c r="M398" s="18">
        <v>20591</v>
      </c>
      <c r="N398" s="19" t="s">
        <v>29</v>
      </c>
    </row>
    <row r="399" spans="1:14">
      <c r="A399" s="21" t="s">
        <v>54</v>
      </c>
      <c r="B399" s="18">
        <v>20649</v>
      </c>
      <c r="C399" s="19" t="s">
        <v>112</v>
      </c>
      <c r="D399" s="18">
        <v>10661</v>
      </c>
      <c r="E399" s="19" t="s">
        <v>1177</v>
      </c>
      <c r="F399" s="19" t="s">
        <v>1228</v>
      </c>
      <c r="G399" s="5"/>
      <c r="H399" s="19" t="s">
        <v>753</v>
      </c>
      <c r="I399" s="19" t="s">
        <v>34</v>
      </c>
      <c r="J399" s="19" t="s">
        <v>770</v>
      </c>
      <c r="K399" s="18">
        <v>50000</v>
      </c>
      <c r="L399" s="26" t="s">
        <v>1291</v>
      </c>
      <c r="M399" s="18">
        <v>59000</v>
      </c>
      <c r="N399" s="19" t="s">
        <v>29</v>
      </c>
    </row>
    <row r="400" spans="1:14">
      <c r="A400" s="21" t="s">
        <v>54</v>
      </c>
      <c r="B400" s="18">
        <v>27222</v>
      </c>
      <c r="C400" s="19" t="s">
        <v>113</v>
      </c>
      <c r="D400" s="18">
        <v>10497</v>
      </c>
      <c r="E400" s="19" t="s">
        <v>376</v>
      </c>
      <c r="F400" s="19" t="s">
        <v>664</v>
      </c>
      <c r="G400" s="5"/>
      <c r="H400" s="19" t="s">
        <v>755</v>
      </c>
      <c r="I400" s="19" t="s">
        <v>34</v>
      </c>
      <c r="J400" s="19" t="s">
        <v>770</v>
      </c>
      <c r="K400" s="18">
        <v>419598.8</v>
      </c>
      <c r="L400" s="26" t="s">
        <v>1292</v>
      </c>
      <c r="M400" s="18">
        <v>495126.58</v>
      </c>
      <c r="N400" s="19" t="s">
        <v>28</v>
      </c>
    </row>
    <row r="401" spans="1:14">
      <c r="A401" s="21" t="s">
        <v>54</v>
      </c>
      <c r="B401" s="18">
        <v>17450</v>
      </c>
      <c r="C401" s="19" t="s">
        <v>1134</v>
      </c>
      <c r="D401" s="18">
        <v>9560</v>
      </c>
      <c r="E401" s="19" t="s">
        <v>1178</v>
      </c>
      <c r="F401" s="19" t="s">
        <v>682</v>
      </c>
      <c r="G401" s="5"/>
      <c r="H401" s="19" t="s">
        <v>751</v>
      </c>
      <c r="I401" s="19" t="s">
        <v>765</v>
      </c>
      <c r="J401" s="19" t="s">
        <v>770</v>
      </c>
      <c r="K401" s="18">
        <v>383007.07199999999</v>
      </c>
      <c r="L401" s="26" t="s">
        <v>1293</v>
      </c>
      <c r="M401" s="18">
        <v>451948.33199999999</v>
      </c>
      <c r="N401" s="19" t="s">
        <v>28</v>
      </c>
    </row>
    <row r="402" spans="1:14">
      <c r="A402" s="21" t="s">
        <v>54</v>
      </c>
      <c r="B402" s="18">
        <v>2381</v>
      </c>
      <c r="C402" s="19" t="s">
        <v>115</v>
      </c>
      <c r="D402" s="18">
        <v>10652</v>
      </c>
      <c r="E402" s="19" t="s">
        <v>1179</v>
      </c>
      <c r="F402" s="19" t="s">
        <v>1238</v>
      </c>
      <c r="G402" s="5"/>
      <c r="H402" s="19" t="s">
        <v>759</v>
      </c>
      <c r="I402" s="19" t="s">
        <v>34</v>
      </c>
      <c r="J402" s="19" t="s">
        <v>770</v>
      </c>
      <c r="K402" s="18">
        <v>98730</v>
      </c>
      <c r="L402" s="26" t="s">
        <v>1294</v>
      </c>
      <c r="M402" s="18">
        <v>116501.4</v>
      </c>
      <c r="N402" s="19" t="s">
        <v>29</v>
      </c>
    </row>
    <row r="403" spans="1:14">
      <c r="A403" s="21" t="s">
        <v>54</v>
      </c>
      <c r="B403" s="18">
        <v>2381</v>
      </c>
      <c r="C403" s="19" t="s">
        <v>115</v>
      </c>
      <c r="D403" s="18">
        <v>10702</v>
      </c>
      <c r="E403" s="19" t="s">
        <v>1180</v>
      </c>
      <c r="F403" s="19" t="s">
        <v>1221</v>
      </c>
      <c r="G403" s="5"/>
      <c r="H403" s="19" t="s">
        <v>759</v>
      </c>
      <c r="I403" s="19" t="s">
        <v>34</v>
      </c>
      <c r="J403" s="19" t="s">
        <v>770</v>
      </c>
      <c r="K403" s="18">
        <v>44750</v>
      </c>
      <c r="L403" s="26" t="s">
        <v>1295</v>
      </c>
      <c r="M403" s="18">
        <v>52805</v>
      </c>
      <c r="N403" s="19" t="s">
        <v>29</v>
      </c>
    </row>
    <row r="404" spans="1:14">
      <c r="A404" s="21" t="s">
        <v>54</v>
      </c>
      <c r="B404" s="18">
        <v>2381</v>
      </c>
      <c r="C404" s="19" t="s">
        <v>115</v>
      </c>
      <c r="D404" s="18">
        <v>10683</v>
      </c>
      <c r="E404" s="19" t="s">
        <v>1181</v>
      </c>
      <c r="F404" s="19" t="s">
        <v>1236</v>
      </c>
      <c r="G404" s="5"/>
      <c r="H404" s="19" t="s">
        <v>759</v>
      </c>
      <c r="I404" s="19" t="s">
        <v>34</v>
      </c>
      <c r="J404" s="19" t="s">
        <v>770</v>
      </c>
      <c r="K404" s="18">
        <v>14650</v>
      </c>
      <c r="L404" s="26" t="s">
        <v>1296</v>
      </c>
      <c r="M404" s="18">
        <v>17287</v>
      </c>
      <c r="N404" s="19" t="s">
        <v>29</v>
      </c>
    </row>
    <row r="405" spans="1:14">
      <c r="A405" s="21" t="s">
        <v>54</v>
      </c>
      <c r="B405" s="18">
        <v>2381</v>
      </c>
      <c r="C405" s="19" t="s">
        <v>115</v>
      </c>
      <c r="D405" s="18">
        <v>10705</v>
      </c>
      <c r="E405" s="19" t="s">
        <v>1182</v>
      </c>
      <c r="F405" s="19" t="s">
        <v>1239</v>
      </c>
      <c r="G405" s="5"/>
      <c r="H405" s="19" t="s">
        <v>757</v>
      </c>
      <c r="I405" s="19" t="s">
        <v>767</v>
      </c>
      <c r="J405" s="19" t="s">
        <v>770</v>
      </c>
      <c r="K405" s="18">
        <v>98000</v>
      </c>
      <c r="L405" s="26" t="s">
        <v>1297</v>
      </c>
      <c r="M405" s="18">
        <v>115640</v>
      </c>
      <c r="N405" s="19" t="s">
        <v>29</v>
      </c>
    </row>
    <row r="406" spans="1:14">
      <c r="A406" s="21" t="s">
        <v>54</v>
      </c>
      <c r="B406" s="18">
        <v>26186</v>
      </c>
      <c r="C406" s="19" t="s">
        <v>117</v>
      </c>
      <c r="D406" s="18">
        <v>10681</v>
      </c>
      <c r="E406" s="19" t="s">
        <v>1183</v>
      </c>
      <c r="F406" s="19" t="s">
        <v>1233</v>
      </c>
      <c r="G406" s="5"/>
      <c r="H406" s="19" t="s">
        <v>759</v>
      </c>
      <c r="I406" s="19" t="s">
        <v>34</v>
      </c>
      <c r="J406" s="19" t="s">
        <v>770</v>
      </c>
      <c r="K406" s="18">
        <v>77980</v>
      </c>
      <c r="L406" s="26" t="s">
        <v>1298</v>
      </c>
      <c r="M406" s="18">
        <v>92016.4</v>
      </c>
      <c r="N406" s="19" t="s">
        <v>29</v>
      </c>
    </row>
    <row r="407" spans="1:14">
      <c r="A407" s="21" t="s">
        <v>54</v>
      </c>
      <c r="B407" s="18">
        <v>26186</v>
      </c>
      <c r="C407" s="19" t="s">
        <v>117</v>
      </c>
      <c r="D407" s="18">
        <v>10659</v>
      </c>
      <c r="E407" s="19" t="s">
        <v>1172</v>
      </c>
      <c r="F407" s="19" t="s">
        <v>1228</v>
      </c>
      <c r="G407" s="5"/>
      <c r="H407" s="19" t="s">
        <v>756</v>
      </c>
      <c r="I407" s="19" t="s">
        <v>767</v>
      </c>
      <c r="J407" s="19" t="s">
        <v>770</v>
      </c>
      <c r="K407" s="18">
        <v>5280</v>
      </c>
      <c r="L407" s="26" t="s">
        <v>1299</v>
      </c>
      <c r="M407" s="18">
        <v>6230.4</v>
      </c>
      <c r="N407" s="19" t="s">
        <v>29</v>
      </c>
    </row>
    <row r="408" spans="1:14">
      <c r="A408" s="21" t="s">
        <v>54</v>
      </c>
      <c r="B408" s="18">
        <v>77</v>
      </c>
      <c r="C408" s="19" t="s">
        <v>84</v>
      </c>
      <c r="D408" s="18">
        <v>10192</v>
      </c>
      <c r="E408" s="19" t="s">
        <v>310</v>
      </c>
      <c r="F408" s="19" t="s">
        <v>1240</v>
      </c>
      <c r="G408" s="5"/>
      <c r="H408" s="19" t="s">
        <v>755</v>
      </c>
      <c r="I408" s="19" t="s">
        <v>34</v>
      </c>
      <c r="J408" s="19" t="s">
        <v>770</v>
      </c>
      <c r="K408" s="18">
        <v>4632940.7699999996</v>
      </c>
      <c r="L408" s="26" t="s">
        <v>1300</v>
      </c>
      <c r="M408" s="18">
        <v>5466870.1100000003</v>
      </c>
      <c r="N408" s="19" t="s">
        <v>28</v>
      </c>
    </row>
    <row r="409" spans="1:14">
      <c r="A409" s="21" t="s">
        <v>54</v>
      </c>
      <c r="B409" s="18">
        <v>77</v>
      </c>
      <c r="C409" s="19" t="s">
        <v>84</v>
      </c>
      <c r="D409" s="18">
        <v>10709</v>
      </c>
      <c r="E409" s="19" t="s">
        <v>1184</v>
      </c>
      <c r="F409" s="19" t="s">
        <v>1241</v>
      </c>
      <c r="G409" s="5"/>
      <c r="H409" s="19" t="s">
        <v>752</v>
      </c>
      <c r="I409" s="19" t="s">
        <v>34</v>
      </c>
      <c r="J409" s="19" t="s">
        <v>770</v>
      </c>
      <c r="K409" s="18">
        <v>1387201</v>
      </c>
      <c r="L409" s="26" t="s">
        <v>1301</v>
      </c>
      <c r="M409" s="18">
        <v>1636897.18</v>
      </c>
      <c r="N409" s="19" t="s">
        <v>28</v>
      </c>
    </row>
    <row r="410" spans="1:14">
      <c r="A410" s="21" t="s">
        <v>54</v>
      </c>
      <c r="B410" s="18">
        <v>77</v>
      </c>
      <c r="C410" s="19" t="s">
        <v>84</v>
      </c>
      <c r="D410" s="18">
        <v>10026</v>
      </c>
      <c r="E410" s="19" t="s">
        <v>1185</v>
      </c>
      <c r="F410" s="19" t="s">
        <v>1242</v>
      </c>
      <c r="G410" s="5"/>
      <c r="H410" s="19" t="s">
        <v>755</v>
      </c>
      <c r="I410" s="19" t="s">
        <v>34</v>
      </c>
      <c r="J410" s="19" t="s">
        <v>770</v>
      </c>
      <c r="K410" s="18">
        <v>1314200</v>
      </c>
      <c r="L410" s="26" t="s">
        <v>1302</v>
      </c>
      <c r="M410" s="18">
        <v>1550756</v>
      </c>
      <c r="N410" s="19" t="s">
        <v>28</v>
      </c>
    </row>
    <row r="411" spans="1:14">
      <c r="A411" s="21" t="s">
        <v>54</v>
      </c>
      <c r="B411" s="18">
        <v>28532</v>
      </c>
      <c r="C411" s="19" t="s">
        <v>98</v>
      </c>
      <c r="D411" s="18">
        <v>10067</v>
      </c>
      <c r="E411" s="19" t="s">
        <v>313</v>
      </c>
      <c r="F411" s="19" t="s">
        <v>618</v>
      </c>
      <c r="G411" s="5"/>
      <c r="H411" s="19" t="s">
        <v>755</v>
      </c>
      <c r="I411" s="19" t="s">
        <v>34</v>
      </c>
      <c r="J411" s="19" t="s">
        <v>770</v>
      </c>
      <c r="K411" s="18">
        <v>4475019.3</v>
      </c>
      <c r="L411" s="26" t="s">
        <v>1303</v>
      </c>
      <c r="M411" s="18">
        <v>5280522.78</v>
      </c>
      <c r="N411" s="19" t="s">
        <v>28</v>
      </c>
    </row>
    <row r="412" spans="1:14">
      <c r="A412" s="21" t="s">
        <v>54</v>
      </c>
      <c r="B412" s="18">
        <v>28532</v>
      </c>
      <c r="C412" s="19" t="s">
        <v>98</v>
      </c>
      <c r="D412" s="18">
        <v>9925</v>
      </c>
      <c r="E412" s="19" t="s">
        <v>312</v>
      </c>
      <c r="F412" s="19" t="s">
        <v>617</v>
      </c>
      <c r="G412" s="5"/>
      <c r="H412" s="19" t="s">
        <v>755</v>
      </c>
      <c r="I412" s="19" t="s">
        <v>34</v>
      </c>
      <c r="J412" s="19" t="s">
        <v>770</v>
      </c>
      <c r="K412" s="18">
        <v>10148054.304</v>
      </c>
      <c r="L412" s="26" t="s">
        <v>1304</v>
      </c>
      <c r="M412" s="18">
        <v>11974704.084000001</v>
      </c>
      <c r="N412" s="19" t="s">
        <v>28</v>
      </c>
    </row>
    <row r="413" spans="1:14">
      <c r="A413" s="21" t="s">
        <v>54</v>
      </c>
      <c r="B413" s="18">
        <v>26007</v>
      </c>
      <c r="C413" s="19" t="s">
        <v>99</v>
      </c>
      <c r="D413" s="18">
        <v>10030</v>
      </c>
      <c r="E413" s="19" t="s">
        <v>1186</v>
      </c>
      <c r="F413" s="19" t="s">
        <v>1243</v>
      </c>
      <c r="G413" s="5"/>
      <c r="H413" s="19" t="s">
        <v>755</v>
      </c>
      <c r="I413" s="19" t="s">
        <v>34</v>
      </c>
      <c r="J413" s="19" t="s">
        <v>770</v>
      </c>
      <c r="K413" s="18">
        <v>1212200</v>
      </c>
      <c r="L413" s="26" t="s">
        <v>1305</v>
      </c>
      <c r="M413" s="18">
        <v>1430396</v>
      </c>
      <c r="N413" s="19" t="s">
        <v>28</v>
      </c>
    </row>
    <row r="414" spans="1:14">
      <c r="A414" s="21" t="s">
        <v>54</v>
      </c>
      <c r="B414" s="18">
        <v>26007</v>
      </c>
      <c r="C414" s="19" t="s">
        <v>99</v>
      </c>
      <c r="D414" s="18">
        <v>10608</v>
      </c>
      <c r="E414" s="19" t="s">
        <v>1187</v>
      </c>
      <c r="F414" s="19" t="s">
        <v>668</v>
      </c>
      <c r="G414" s="5"/>
      <c r="H414" s="19" t="s">
        <v>33</v>
      </c>
      <c r="I414" s="19" t="s">
        <v>34</v>
      </c>
      <c r="J414" s="19" t="s">
        <v>770</v>
      </c>
      <c r="K414" s="18">
        <v>117495.3</v>
      </c>
      <c r="L414" s="26" t="s">
        <v>1306</v>
      </c>
      <c r="M414" s="18">
        <v>138644.46</v>
      </c>
      <c r="N414" s="19" t="s">
        <v>28</v>
      </c>
    </row>
    <row r="415" spans="1:14">
      <c r="A415" s="21" t="s">
        <v>54</v>
      </c>
      <c r="B415" s="18">
        <v>26712</v>
      </c>
      <c r="C415" s="19" t="s">
        <v>103</v>
      </c>
      <c r="D415" s="18">
        <v>10253</v>
      </c>
      <c r="E415" s="19" t="s">
        <v>324</v>
      </c>
      <c r="F415" s="19" t="s">
        <v>627</v>
      </c>
      <c r="G415" s="5"/>
      <c r="H415" s="19" t="s">
        <v>33</v>
      </c>
      <c r="I415" s="19" t="s">
        <v>34</v>
      </c>
      <c r="J415" s="19" t="s">
        <v>770</v>
      </c>
      <c r="K415" s="18">
        <v>4570453.3499999996</v>
      </c>
      <c r="L415" s="26" t="s">
        <v>1307</v>
      </c>
      <c r="M415" s="18">
        <v>5393134.9500000002</v>
      </c>
      <c r="N415" s="19" t="s">
        <v>28</v>
      </c>
    </row>
    <row r="416" spans="1:14">
      <c r="A416" s="21" t="s">
        <v>54</v>
      </c>
      <c r="B416" s="18">
        <v>20206</v>
      </c>
      <c r="C416" s="19" t="s">
        <v>1135</v>
      </c>
      <c r="D416" s="18">
        <v>10630</v>
      </c>
      <c r="E416" s="19" t="s">
        <v>1188</v>
      </c>
      <c r="F416" s="19" t="s">
        <v>555</v>
      </c>
      <c r="G416" s="5"/>
      <c r="H416" s="19" t="s">
        <v>752</v>
      </c>
      <c r="I416" s="19" t="s">
        <v>34</v>
      </c>
      <c r="J416" s="19" t="s">
        <v>770</v>
      </c>
      <c r="K416" s="18">
        <v>1247317</v>
      </c>
      <c r="L416" s="26" t="s">
        <v>1308</v>
      </c>
      <c r="M416" s="18">
        <v>1471834.06</v>
      </c>
      <c r="N416" s="19" t="s">
        <v>28</v>
      </c>
    </row>
    <row r="417" spans="1:14">
      <c r="A417" s="21" t="s">
        <v>54</v>
      </c>
      <c r="B417" s="18">
        <v>28767</v>
      </c>
      <c r="C417" s="19" t="s">
        <v>109</v>
      </c>
      <c r="D417" s="18">
        <v>10511</v>
      </c>
      <c r="E417" s="19" t="s">
        <v>1189</v>
      </c>
      <c r="F417" s="19" t="s">
        <v>723</v>
      </c>
      <c r="G417" s="5"/>
      <c r="H417" s="19" t="s">
        <v>755</v>
      </c>
      <c r="I417" s="19" t="s">
        <v>34</v>
      </c>
      <c r="J417" s="19" t="s">
        <v>770</v>
      </c>
      <c r="K417" s="18">
        <v>998844</v>
      </c>
      <c r="L417" s="26" t="s">
        <v>1309</v>
      </c>
      <c r="M417" s="18">
        <v>1178635.92</v>
      </c>
      <c r="N417" s="19" t="s">
        <v>38</v>
      </c>
    </row>
    <row r="418" spans="1:14">
      <c r="A418" s="21" t="s">
        <v>54</v>
      </c>
      <c r="B418" s="18">
        <v>2084</v>
      </c>
      <c r="C418" s="19" t="s">
        <v>85</v>
      </c>
      <c r="D418" s="18">
        <v>10695</v>
      </c>
      <c r="E418" s="19" t="s">
        <v>1151</v>
      </c>
      <c r="F418" s="19" t="s">
        <v>1220</v>
      </c>
      <c r="G418" s="5"/>
      <c r="H418" s="19" t="s">
        <v>763</v>
      </c>
      <c r="I418" s="19" t="s">
        <v>34</v>
      </c>
      <c r="J418" s="19" t="s">
        <v>770</v>
      </c>
      <c r="K418" s="18">
        <v>198755</v>
      </c>
      <c r="L418" s="26" t="s">
        <v>1310</v>
      </c>
      <c r="M418" s="18">
        <v>234530.9</v>
      </c>
      <c r="N418" s="19" t="s">
        <v>29</v>
      </c>
    </row>
    <row r="419" spans="1:14">
      <c r="A419" s="21" t="s">
        <v>54</v>
      </c>
      <c r="B419" s="18">
        <v>2084</v>
      </c>
      <c r="C419" s="19" t="s">
        <v>85</v>
      </c>
      <c r="D419" s="18">
        <v>10657</v>
      </c>
      <c r="E419" s="19" t="s">
        <v>1190</v>
      </c>
      <c r="F419" s="19" t="s">
        <v>1232</v>
      </c>
      <c r="G419" s="5"/>
      <c r="H419" s="19" t="s">
        <v>33</v>
      </c>
      <c r="I419" s="19" t="s">
        <v>34</v>
      </c>
      <c r="J419" s="19" t="s">
        <v>770</v>
      </c>
      <c r="K419" s="18">
        <v>665300</v>
      </c>
      <c r="L419" s="26" t="s">
        <v>1311</v>
      </c>
      <c r="M419" s="18">
        <v>785054</v>
      </c>
      <c r="N419" s="19" t="s">
        <v>32</v>
      </c>
    </row>
    <row r="420" spans="1:14">
      <c r="A420" s="21" t="s">
        <v>54</v>
      </c>
      <c r="B420" s="18">
        <v>2084</v>
      </c>
      <c r="C420" s="19" t="s">
        <v>85</v>
      </c>
      <c r="D420" s="18">
        <v>10650</v>
      </c>
      <c r="E420" s="19" t="s">
        <v>1191</v>
      </c>
      <c r="F420" s="19" t="s">
        <v>1238</v>
      </c>
      <c r="G420" s="5"/>
      <c r="H420" s="19" t="s">
        <v>763</v>
      </c>
      <c r="I420" s="19" t="s">
        <v>34</v>
      </c>
      <c r="J420" s="19" t="s">
        <v>770</v>
      </c>
      <c r="K420" s="18">
        <v>225435</v>
      </c>
      <c r="L420" s="26" t="s">
        <v>1312</v>
      </c>
      <c r="M420" s="18">
        <v>266013.3</v>
      </c>
      <c r="N420" s="19" t="s">
        <v>29</v>
      </c>
    </row>
    <row r="421" spans="1:14">
      <c r="A421" s="21" t="s">
        <v>54</v>
      </c>
      <c r="B421" s="18">
        <v>2084</v>
      </c>
      <c r="C421" s="19" t="s">
        <v>85</v>
      </c>
      <c r="D421" s="18">
        <v>10711</v>
      </c>
      <c r="E421" s="19" t="s">
        <v>319</v>
      </c>
      <c r="F421" s="19" t="s">
        <v>1244</v>
      </c>
      <c r="G421" s="5"/>
      <c r="H421" s="19" t="s">
        <v>752</v>
      </c>
      <c r="I421" s="19" t="s">
        <v>34</v>
      </c>
      <c r="J421" s="19" t="s">
        <v>770</v>
      </c>
      <c r="K421" s="18">
        <v>1464015</v>
      </c>
      <c r="L421" s="26" t="s">
        <v>1313</v>
      </c>
      <c r="M421" s="18">
        <v>1727537.7</v>
      </c>
      <c r="N421" s="19" t="s">
        <v>28</v>
      </c>
    </row>
    <row r="422" spans="1:14">
      <c r="A422" s="21" t="s">
        <v>54</v>
      </c>
      <c r="B422" s="18">
        <v>2084</v>
      </c>
      <c r="C422" s="19" t="s">
        <v>85</v>
      </c>
      <c r="D422" s="18">
        <v>10516</v>
      </c>
      <c r="E422" s="19" t="s">
        <v>1192</v>
      </c>
      <c r="F422" s="19" t="s">
        <v>730</v>
      </c>
      <c r="G422" s="5"/>
      <c r="H422" s="19" t="s">
        <v>33</v>
      </c>
      <c r="I422" s="19" t="s">
        <v>34</v>
      </c>
      <c r="J422" s="19" t="s">
        <v>770</v>
      </c>
      <c r="K422" s="18">
        <v>656160.55500000005</v>
      </c>
      <c r="L422" s="26" t="s">
        <v>1314</v>
      </c>
      <c r="M422" s="18">
        <v>774269.45499999996</v>
      </c>
      <c r="N422" s="19" t="s">
        <v>28</v>
      </c>
    </row>
    <row r="423" spans="1:14">
      <c r="A423" s="21" t="s">
        <v>54</v>
      </c>
      <c r="B423" s="18">
        <v>2084</v>
      </c>
      <c r="C423" s="19" t="s">
        <v>85</v>
      </c>
      <c r="D423" s="18">
        <v>10689</v>
      </c>
      <c r="E423" s="19" t="s">
        <v>1193</v>
      </c>
      <c r="F423" s="19" t="s">
        <v>1245</v>
      </c>
      <c r="G423" s="5"/>
      <c r="H423" s="19" t="s">
        <v>763</v>
      </c>
      <c r="I423" s="19" t="s">
        <v>34</v>
      </c>
      <c r="J423" s="19" t="s">
        <v>770</v>
      </c>
      <c r="K423" s="18">
        <v>440730</v>
      </c>
      <c r="L423" s="26" t="s">
        <v>1315</v>
      </c>
      <c r="M423" s="18">
        <v>520061.4</v>
      </c>
      <c r="N423" s="19" t="s">
        <v>29</v>
      </c>
    </row>
    <row r="424" spans="1:14">
      <c r="A424" s="21" t="s">
        <v>54</v>
      </c>
      <c r="B424" s="18">
        <v>1296</v>
      </c>
      <c r="C424" s="19" t="s">
        <v>1136</v>
      </c>
      <c r="D424" s="18">
        <v>10713</v>
      </c>
      <c r="E424" s="19" t="s">
        <v>1194</v>
      </c>
      <c r="F424" s="19" t="s">
        <v>1246</v>
      </c>
      <c r="G424" s="5"/>
      <c r="H424" s="19" t="s">
        <v>762</v>
      </c>
      <c r="I424" s="19" t="s">
        <v>34</v>
      </c>
      <c r="J424" s="19" t="s">
        <v>770</v>
      </c>
      <c r="K424" s="18">
        <v>1310520.3999999999</v>
      </c>
      <c r="L424" s="26" t="s">
        <v>1316</v>
      </c>
      <c r="M424" s="18">
        <v>1547960.5</v>
      </c>
      <c r="N424" s="19" t="s">
        <v>40</v>
      </c>
    </row>
    <row r="425" spans="1:14">
      <c r="A425" s="21" t="s">
        <v>54</v>
      </c>
      <c r="B425" s="18">
        <v>5545</v>
      </c>
      <c r="C425" s="19" t="s">
        <v>87</v>
      </c>
      <c r="D425" s="18">
        <v>10698</v>
      </c>
      <c r="E425" s="19" t="s">
        <v>1195</v>
      </c>
      <c r="F425" s="19" t="s">
        <v>1247</v>
      </c>
      <c r="G425" s="5"/>
      <c r="H425" s="19" t="s">
        <v>757</v>
      </c>
      <c r="I425" s="19" t="s">
        <v>767</v>
      </c>
      <c r="J425" s="19" t="s">
        <v>770</v>
      </c>
      <c r="K425" s="18">
        <v>5325000</v>
      </c>
      <c r="L425" s="26" t="s">
        <v>1317</v>
      </c>
      <c r="M425" s="18">
        <v>6283500</v>
      </c>
      <c r="N425" s="19" t="s">
        <v>29</v>
      </c>
    </row>
    <row r="426" spans="1:14">
      <c r="A426" s="21" t="s">
        <v>54</v>
      </c>
      <c r="B426" s="18">
        <v>2091</v>
      </c>
      <c r="C426" s="19" t="s">
        <v>1137</v>
      </c>
      <c r="D426" s="18">
        <v>10632</v>
      </c>
      <c r="E426" s="19" t="s">
        <v>1196</v>
      </c>
      <c r="F426" s="19" t="s">
        <v>555</v>
      </c>
      <c r="G426" s="5"/>
      <c r="H426" s="19" t="s">
        <v>757</v>
      </c>
      <c r="I426" s="19" t="s">
        <v>767</v>
      </c>
      <c r="J426" s="19" t="s">
        <v>770</v>
      </c>
      <c r="K426" s="18">
        <v>612720</v>
      </c>
      <c r="L426" s="26" t="s">
        <v>1318</v>
      </c>
      <c r="M426" s="18">
        <v>686246.40000000002</v>
      </c>
      <c r="N426" s="19" t="s">
        <v>29</v>
      </c>
    </row>
    <row r="427" spans="1:14">
      <c r="A427" s="21" t="s">
        <v>54</v>
      </c>
      <c r="B427" s="18">
        <v>29266</v>
      </c>
      <c r="C427" s="19" t="s">
        <v>1138</v>
      </c>
      <c r="D427" s="18">
        <v>10640</v>
      </c>
      <c r="E427" s="19" t="s">
        <v>1197</v>
      </c>
      <c r="F427" s="19" t="s">
        <v>557</v>
      </c>
      <c r="G427" s="5"/>
      <c r="H427" s="19" t="s">
        <v>752</v>
      </c>
      <c r="I427" s="19" t="s">
        <v>34</v>
      </c>
      <c r="J427" s="19" t="s">
        <v>770</v>
      </c>
      <c r="K427" s="18">
        <v>67587</v>
      </c>
      <c r="L427" s="26" t="s">
        <v>1319</v>
      </c>
      <c r="M427" s="18">
        <v>79752.66</v>
      </c>
      <c r="N427" s="19" t="s">
        <v>28</v>
      </c>
    </row>
    <row r="428" spans="1:14">
      <c r="A428" s="21" t="s">
        <v>54</v>
      </c>
      <c r="B428" s="18">
        <v>204</v>
      </c>
      <c r="C428" s="19" t="s">
        <v>1139</v>
      </c>
      <c r="D428" s="18">
        <v>10587</v>
      </c>
      <c r="E428" s="19" t="s">
        <v>1198</v>
      </c>
      <c r="F428" s="19" t="s">
        <v>737</v>
      </c>
      <c r="G428" s="5"/>
      <c r="H428" s="19" t="s">
        <v>759</v>
      </c>
      <c r="I428" s="19" t="s">
        <v>34</v>
      </c>
      <c r="J428" s="19" t="s">
        <v>770</v>
      </c>
      <c r="K428" s="18">
        <v>436500</v>
      </c>
      <c r="L428" s="26" t="s">
        <v>1320</v>
      </c>
      <c r="M428" s="18">
        <v>530522.09</v>
      </c>
      <c r="N428" s="19" t="s">
        <v>29</v>
      </c>
    </row>
    <row r="429" spans="1:14">
      <c r="A429" s="21" t="s">
        <v>54</v>
      </c>
      <c r="B429" s="18">
        <v>204</v>
      </c>
      <c r="C429" s="19" t="s">
        <v>1139</v>
      </c>
      <c r="D429" s="18">
        <v>10626</v>
      </c>
      <c r="E429" s="19" t="s">
        <v>1199</v>
      </c>
      <c r="F429" s="19" t="s">
        <v>741</v>
      </c>
      <c r="G429" s="5"/>
      <c r="H429" s="19" t="s">
        <v>759</v>
      </c>
      <c r="I429" s="19" t="s">
        <v>34</v>
      </c>
      <c r="J429" s="19" t="s">
        <v>770</v>
      </c>
      <c r="K429" s="18">
        <v>442060</v>
      </c>
      <c r="L429" s="26" t="s">
        <v>1321</v>
      </c>
      <c r="M429" s="18">
        <v>552928.65</v>
      </c>
      <c r="N429" s="19" t="s">
        <v>41</v>
      </c>
    </row>
    <row r="430" spans="1:14">
      <c r="A430" s="21" t="s">
        <v>54</v>
      </c>
      <c r="B430" s="18">
        <v>204</v>
      </c>
      <c r="C430" s="19" t="s">
        <v>1139</v>
      </c>
      <c r="D430" s="18">
        <v>10708</v>
      </c>
      <c r="E430" s="19" t="s">
        <v>1200</v>
      </c>
      <c r="F430" s="19" t="s">
        <v>1241</v>
      </c>
      <c r="G430" s="5"/>
      <c r="H430" s="19" t="s">
        <v>763</v>
      </c>
      <c r="I430" s="19" t="s">
        <v>34</v>
      </c>
      <c r="J430" s="19" t="s">
        <v>770</v>
      </c>
      <c r="K430" s="18">
        <v>445110</v>
      </c>
      <c r="L430" s="26" t="s">
        <v>1322</v>
      </c>
      <c r="M430" s="18">
        <v>557330.52</v>
      </c>
      <c r="N430" s="19" t="s">
        <v>29</v>
      </c>
    </row>
    <row r="431" spans="1:14">
      <c r="A431" s="21" t="s">
        <v>54</v>
      </c>
      <c r="B431" s="18">
        <v>23103</v>
      </c>
      <c r="C431" s="19" t="s">
        <v>160</v>
      </c>
      <c r="D431" s="18">
        <v>10696</v>
      </c>
      <c r="E431" s="19" t="s">
        <v>1201</v>
      </c>
      <c r="F431" s="19" t="s">
        <v>1247</v>
      </c>
      <c r="G431" s="5"/>
      <c r="H431" s="19" t="s">
        <v>759</v>
      </c>
      <c r="I431" s="19" t="s">
        <v>34</v>
      </c>
      <c r="J431" s="19" t="s">
        <v>770</v>
      </c>
      <c r="K431" s="18">
        <v>60117</v>
      </c>
      <c r="L431" s="26" t="s">
        <v>1323</v>
      </c>
      <c r="M431" s="18">
        <v>70938.06</v>
      </c>
      <c r="N431" s="19" t="s">
        <v>29</v>
      </c>
    </row>
    <row r="432" spans="1:14">
      <c r="A432" s="21" t="s">
        <v>54</v>
      </c>
      <c r="B432" s="18">
        <v>17650</v>
      </c>
      <c r="C432" s="19" t="s">
        <v>1140</v>
      </c>
      <c r="D432" s="18">
        <v>10672</v>
      </c>
      <c r="E432" s="19" t="s">
        <v>1202</v>
      </c>
      <c r="F432" s="19" t="s">
        <v>1248</v>
      </c>
      <c r="G432" s="5"/>
      <c r="H432" s="19" t="s">
        <v>763</v>
      </c>
      <c r="I432" s="19" t="s">
        <v>34</v>
      </c>
      <c r="J432" s="19" t="s">
        <v>770</v>
      </c>
      <c r="K432" s="18">
        <v>146364</v>
      </c>
      <c r="L432" s="26" t="s">
        <v>1324</v>
      </c>
      <c r="M432" s="18">
        <v>172709.52</v>
      </c>
      <c r="N432" s="19" t="s">
        <v>29</v>
      </c>
    </row>
    <row r="433" spans="1:14">
      <c r="A433" s="21" t="s">
        <v>54</v>
      </c>
      <c r="B433" s="18">
        <v>19378</v>
      </c>
      <c r="C433" s="19" t="s">
        <v>162</v>
      </c>
      <c r="D433" s="18">
        <v>10623</v>
      </c>
      <c r="E433" s="19" t="s">
        <v>1203</v>
      </c>
      <c r="F433" s="19" t="s">
        <v>650</v>
      </c>
      <c r="G433" s="5"/>
      <c r="H433" s="19" t="s">
        <v>762</v>
      </c>
      <c r="I433" s="19" t="s">
        <v>34</v>
      </c>
      <c r="J433" s="19" t="s">
        <v>770</v>
      </c>
      <c r="K433" s="18">
        <v>79200</v>
      </c>
      <c r="L433" s="26" t="s">
        <v>1325</v>
      </c>
      <c r="M433" s="18">
        <v>98128.8</v>
      </c>
      <c r="N433" s="19" t="s">
        <v>29</v>
      </c>
    </row>
    <row r="434" spans="1:14">
      <c r="A434" s="21" t="s">
        <v>54</v>
      </c>
      <c r="B434" s="18">
        <v>29050</v>
      </c>
      <c r="C434" s="19" t="s">
        <v>164</v>
      </c>
      <c r="D434" s="18">
        <v>10674</v>
      </c>
      <c r="E434" s="19" t="s">
        <v>1204</v>
      </c>
      <c r="F434" s="19" t="s">
        <v>1226</v>
      </c>
      <c r="G434" s="5"/>
      <c r="H434" s="19" t="s">
        <v>757</v>
      </c>
      <c r="I434" s="19" t="s">
        <v>767</v>
      </c>
      <c r="J434" s="19" t="s">
        <v>770</v>
      </c>
      <c r="K434" s="18">
        <v>127600</v>
      </c>
      <c r="L434" s="26" t="s">
        <v>1326</v>
      </c>
      <c r="M434" s="18">
        <v>150568</v>
      </c>
      <c r="N434" s="19" t="s">
        <v>29</v>
      </c>
    </row>
    <row r="435" spans="1:14">
      <c r="A435" s="21" t="s">
        <v>54</v>
      </c>
      <c r="B435" s="18">
        <v>28246</v>
      </c>
      <c r="C435" s="19" t="s">
        <v>169</v>
      </c>
      <c r="D435" s="18">
        <v>10290</v>
      </c>
      <c r="E435" s="19" t="s">
        <v>323</v>
      </c>
      <c r="F435" s="19" t="s">
        <v>665</v>
      </c>
      <c r="G435" s="5"/>
      <c r="H435" s="19" t="s">
        <v>756</v>
      </c>
      <c r="I435" s="19" t="s">
        <v>767</v>
      </c>
      <c r="J435" s="19" t="s">
        <v>770</v>
      </c>
      <c r="K435" s="18">
        <v>8628</v>
      </c>
      <c r="L435" s="26" t="s">
        <v>1048</v>
      </c>
      <c r="M435" s="18">
        <v>10181.040000000001</v>
      </c>
      <c r="N435" s="19" t="s">
        <v>29</v>
      </c>
    </row>
    <row r="436" spans="1:14">
      <c r="A436" s="21" t="s">
        <v>54</v>
      </c>
      <c r="B436" s="18">
        <v>13959</v>
      </c>
      <c r="C436" s="19" t="s">
        <v>1141</v>
      </c>
      <c r="D436" s="18">
        <v>10629</v>
      </c>
      <c r="E436" s="19" t="s">
        <v>1205</v>
      </c>
      <c r="F436" s="19" t="s">
        <v>606</v>
      </c>
      <c r="G436" s="5"/>
      <c r="H436" s="19" t="s">
        <v>755</v>
      </c>
      <c r="I436" s="19" t="s">
        <v>34</v>
      </c>
      <c r="J436" s="19" t="s">
        <v>770</v>
      </c>
      <c r="K436" s="18">
        <v>2961538</v>
      </c>
      <c r="L436" s="26" t="s">
        <v>1327</v>
      </c>
      <c r="M436" s="18">
        <v>3494614.84</v>
      </c>
      <c r="N436" s="19" t="s">
        <v>1123</v>
      </c>
    </row>
    <row r="437" spans="1:14">
      <c r="A437" s="21" t="s">
        <v>54</v>
      </c>
      <c r="B437" s="18">
        <v>28644</v>
      </c>
      <c r="C437" s="19" t="s">
        <v>1142</v>
      </c>
      <c r="D437" s="18">
        <v>9949</v>
      </c>
      <c r="E437" s="19" t="s">
        <v>1206</v>
      </c>
      <c r="F437" s="19" t="s">
        <v>566</v>
      </c>
      <c r="G437" s="5"/>
      <c r="H437" s="19" t="s">
        <v>754</v>
      </c>
      <c r="I437" s="19" t="s">
        <v>34</v>
      </c>
      <c r="J437" s="19" t="s">
        <v>770</v>
      </c>
      <c r="K437" s="18">
        <v>34200000</v>
      </c>
      <c r="L437" s="26" t="s">
        <v>1328</v>
      </c>
      <c r="M437" s="18">
        <v>40356000</v>
      </c>
      <c r="N437" s="19" t="s">
        <v>1347</v>
      </c>
    </row>
    <row r="438" spans="1:14">
      <c r="A438" s="21" t="s">
        <v>54</v>
      </c>
      <c r="B438" s="18">
        <v>28984</v>
      </c>
      <c r="C438" s="19" t="s">
        <v>53</v>
      </c>
      <c r="D438" s="18">
        <v>10717</v>
      </c>
      <c r="E438" s="19" t="s">
        <v>1207</v>
      </c>
      <c r="F438" s="19" t="s">
        <v>1227</v>
      </c>
      <c r="G438" s="5"/>
      <c r="H438" s="19" t="s">
        <v>757</v>
      </c>
      <c r="I438" s="19" t="s">
        <v>767</v>
      </c>
      <c r="J438" s="19" t="s">
        <v>770</v>
      </c>
      <c r="K438" s="18">
        <v>12000</v>
      </c>
      <c r="L438" s="26" t="s">
        <v>1329</v>
      </c>
      <c r="M438" s="18">
        <v>14160</v>
      </c>
      <c r="N438" s="19" t="s">
        <v>29</v>
      </c>
    </row>
    <row r="439" spans="1:14">
      <c r="A439" s="21" t="s">
        <v>54</v>
      </c>
      <c r="B439" s="18">
        <v>28342</v>
      </c>
      <c r="C439" s="19" t="s">
        <v>189</v>
      </c>
      <c r="D439" s="18">
        <v>10685</v>
      </c>
      <c r="E439" s="19" t="s">
        <v>1208</v>
      </c>
      <c r="F439" s="19" t="s">
        <v>1236</v>
      </c>
      <c r="G439" s="5"/>
      <c r="H439" s="19" t="s">
        <v>753</v>
      </c>
      <c r="I439" s="19" t="s">
        <v>34</v>
      </c>
      <c r="J439" s="19" t="s">
        <v>772</v>
      </c>
      <c r="K439" s="18">
        <v>2820000</v>
      </c>
      <c r="L439" s="26" t="s">
        <v>1330</v>
      </c>
      <c r="M439" s="18">
        <v>3516636</v>
      </c>
      <c r="N439" s="19" t="s">
        <v>29</v>
      </c>
    </row>
    <row r="440" spans="1:14">
      <c r="A440" s="21" t="s">
        <v>54</v>
      </c>
      <c r="B440" s="18">
        <v>28342</v>
      </c>
      <c r="C440" s="19" t="s">
        <v>189</v>
      </c>
      <c r="D440" s="18">
        <v>10647</v>
      </c>
      <c r="E440" s="19" t="s">
        <v>1209</v>
      </c>
      <c r="F440" s="19" t="s">
        <v>1231</v>
      </c>
      <c r="G440" s="5"/>
      <c r="H440" s="19" t="s">
        <v>753</v>
      </c>
      <c r="I440" s="19" t="s">
        <v>34</v>
      </c>
      <c r="J440" s="19" t="s">
        <v>772</v>
      </c>
      <c r="K440" s="18">
        <v>3060000</v>
      </c>
      <c r="L440" s="26" t="s">
        <v>1331</v>
      </c>
      <c r="M440" s="18">
        <v>4035600</v>
      </c>
      <c r="N440" s="19" t="s">
        <v>29</v>
      </c>
    </row>
    <row r="441" spans="1:14">
      <c r="A441" s="21" t="s">
        <v>54</v>
      </c>
      <c r="B441" s="18">
        <v>28450</v>
      </c>
      <c r="C441" s="19" t="s">
        <v>190</v>
      </c>
      <c r="D441" s="18">
        <v>10649</v>
      </c>
      <c r="E441" s="19" t="s">
        <v>1210</v>
      </c>
      <c r="F441" s="19" t="s">
        <v>1238</v>
      </c>
      <c r="G441" s="5"/>
      <c r="H441" s="19" t="s">
        <v>762</v>
      </c>
      <c r="I441" s="19" t="s">
        <v>34</v>
      </c>
      <c r="J441" s="19" t="s">
        <v>770</v>
      </c>
      <c r="K441" s="18">
        <v>210290</v>
      </c>
      <c r="L441" s="26" t="s">
        <v>1332</v>
      </c>
      <c r="M441" s="18">
        <v>248142.2</v>
      </c>
      <c r="N441" s="19" t="s">
        <v>29</v>
      </c>
    </row>
    <row r="442" spans="1:14">
      <c r="A442" s="21" t="s">
        <v>54</v>
      </c>
      <c r="B442" s="18">
        <v>28047</v>
      </c>
      <c r="C442" s="19" t="s">
        <v>190</v>
      </c>
      <c r="D442" s="18">
        <v>10670</v>
      </c>
      <c r="E442" s="19" t="s">
        <v>1211</v>
      </c>
      <c r="F442" s="19" t="s">
        <v>1249</v>
      </c>
      <c r="G442" s="5"/>
      <c r="H442" s="19" t="s">
        <v>763</v>
      </c>
      <c r="I442" s="19" t="s">
        <v>34</v>
      </c>
      <c r="J442" s="19" t="s">
        <v>770</v>
      </c>
      <c r="K442" s="18">
        <v>215150</v>
      </c>
      <c r="L442" s="26" t="s">
        <v>1333</v>
      </c>
      <c r="M442" s="18">
        <v>253877</v>
      </c>
      <c r="N442" s="19" t="s">
        <v>29</v>
      </c>
    </row>
    <row r="443" spans="1:14">
      <c r="A443" s="21" t="s">
        <v>54</v>
      </c>
      <c r="B443" s="18">
        <v>28450</v>
      </c>
      <c r="C443" s="19" t="s">
        <v>190</v>
      </c>
      <c r="D443" s="18">
        <v>10719</v>
      </c>
      <c r="E443" s="19" t="s">
        <v>1152</v>
      </c>
      <c r="F443" s="19" t="s">
        <v>1250</v>
      </c>
      <c r="G443" s="5"/>
      <c r="H443" s="19" t="s">
        <v>763</v>
      </c>
      <c r="I443" s="19" t="s">
        <v>34</v>
      </c>
      <c r="J443" s="19" t="s">
        <v>770</v>
      </c>
      <c r="K443" s="18">
        <v>33619</v>
      </c>
      <c r="L443" s="26" t="s">
        <v>1334</v>
      </c>
      <c r="M443" s="18">
        <v>39670.42</v>
      </c>
      <c r="N443" s="19" t="s">
        <v>29</v>
      </c>
    </row>
    <row r="444" spans="1:14">
      <c r="A444" s="21" t="s">
        <v>54</v>
      </c>
      <c r="B444" s="18">
        <v>28450</v>
      </c>
      <c r="C444" s="19" t="s">
        <v>190</v>
      </c>
      <c r="D444" s="18">
        <v>10651</v>
      </c>
      <c r="E444" s="19" t="s">
        <v>1191</v>
      </c>
      <c r="F444" s="19" t="s">
        <v>1238</v>
      </c>
      <c r="G444" s="5"/>
      <c r="H444" s="19" t="s">
        <v>763</v>
      </c>
      <c r="I444" s="19" t="s">
        <v>34</v>
      </c>
      <c r="J444" s="19" t="s">
        <v>770</v>
      </c>
      <c r="K444" s="18">
        <v>111158</v>
      </c>
      <c r="L444" s="26" t="s">
        <v>1335</v>
      </c>
      <c r="M444" s="18">
        <v>131166.44</v>
      </c>
      <c r="N444" s="19" t="s">
        <v>29</v>
      </c>
    </row>
    <row r="445" spans="1:14">
      <c r="A445" s="21" t="s">
        <v>54</v>
      </c>
      <c r="B445" s="18">
        <v>28047</v>
      </c>
      <c r="C445" s="19" t="s">
        <v>190</v>
      </c>
      <c r="D445" s="18">
        <v>10697</v>
      </c>
      <c r="E445" s="19" t="s">
        <v>1151</v>
      </c>
      <c r="F445" s="19" t="s">
        <v>1247</v>
      </c>
      <c r="G445" s="5"/>
      <c r="H445" s="19" t="s">
        <v>763</v>
      </c>
      <c r="I445" s="19" t="s">
        <v>34</v>
      </c>
      <c r="J445" s="19" t="s">
        <v>770</v>
      </c>
      <c r="K445" s="18">
        <v>34562</v>
      </c>
      <c r="L445" s="26" t="s">
        <v>1336</v>
      </c>
      <c r="M445" s="18">
        <v>40783.160000000003</v>
      </c>
      <c r="N445" s="19" t="s">
        <v>29</v>
      </c>
    </row>
    <row r="446" spans="1:14">
      <c r="A446" s="21" t="s">
        <v>54</v>
      </c>
      <c r="B446" s="18">
        <v>20500</v>
      </c>
      <c r="C446" s="19" t="s">
        <v>198</v>
      </c>
      <c r="D446" s="18">
        <v>10720</v>
      </c>
      <c r="E446" s="19" t="s">
        <v>1212</v>
      </c>
      <c r="F446" s="19" t="s">
        <v>1251</v>
      </c>
      <c r="G446" s="5"/>
      <c r="H446" s="19" t="s">
        <v>756</v>
      </c>
      <c r="I446" s="19" t="s">
        <v>767</v>
      </c>
      <c r="J446" s="19" t="s">
        <v>770</v>
      </c>
      <c r="K446" s="18">
        <v>5253100</v>
      </c>
      <c r="L446" s="26" t="s">
        <v>1337</v>
      </c>
      <c r="M446" s="18">
        <v>6198658</v>
      </c>
      <c r="N446" s="19" t="s">
        <v>29</v>
      </c>
    </row>
    <row r="447" spans="1:14">
      <c r="A447" s="21" t="s">
        <v>54</v>
      </c>
      <c r="B447" s="18">
        <v>20500</v>
      </c>
      <c r="C447" s="19" t="s">
        <v>198</v>
      </c>
      <c r="D447" s="18">
        <v>10620</v>
      </c>
      <c r="E447" s="19" t="s">
        <v>1203</v>
      </c>
      <c r="F447" s="19" t="s">
        <v>650</v>
      </c>
      <c r="G447" s="5"/>
      <c r="H447" s="19" t="s">
        <v>762</v>
      </c>
      <c r="I447" s="19" t="s">
        <v>34</v>
      </c>
      <c r="J447" s="19" t="s">
        <v>770</v>
      </c>
      <c r="K447" s="18">
        <v>20500</v>
      </c>
      <c r="L447" s="26" t="s">
        <v>1338</v>
      </c>
      <c r="M447" s="18">
        <v>24190</v>
      </c>
      <c r="N447" s="19" t="s">
        <v>29</v>
      </c>
    </row>
    <row r="448" spans="1:14">
      <c r="A448" s="21" t="s">
        <v>54</v>
      </c>
      <c r="B448" s="18">
        <v>6125</v>
      </c>
      <c r="C448" s="19" t="s">
        <v>1143</v>
      </c>
      <c r="D448" s="18">
        <v>10701</v>
      </c>
      <c r="E448" s="19" t="s">
        <v>1213</v>
      </c>
      <c r="F448" s="19" t="s">
        <v>1247</v>
      </c>
      <c r="G448" s="5"/>
      <c r="H448" s="19" t="s">
        <v>755</v>
      </c>
      <c r="I448" s="19" t="s">
        <v>34</v>
      </c>
      <c r="J448" s="19" t="s">
        <v>770</v>
      </c>
      <c r="K448" s="18">
        <v>1347955</v>
      </c>
      <c r="L448" s="26" t="s">
        <v>1339</v>
      </c>
      <c r="M448" s="18">
        <v>1590586.9</v>
      </c>
      <c r="N448" s="19" t="s">
        <v>28</v>
      </c>
    </row>
    <row r="449" spans="1:14">
      <c r="A449" s="21" t="s">
        <v>54</v>
      </c>
      <c r="B449" s="18">
        <v>26518</v>
      </c>
      <c r="C449" s="19" t="s">
        <v>1144</v>
      </c>
      <c r="D449" s="18">
        <v>10663</v>
      </c>
      <c r="E449" s="19" t="s">
        <v>1214</v>
      </c>
      <c r="F449" s="19" t="s">
        <v>1252</v>
      </c>
      <c r="G449" s="5"/>
      <c r="H449" s="19" t="s">
        <v>759</v>
      </c>
      <c r="I449" s="19" t="s">
        <v>34</v>
      </c>
      <c r="J449" s="19" t="s">
        <v>770</v>
      </c>
      <c r="K449" s="18">
        <v>200260</v>
      </c>
      <c r="L449" s="26" t="s">
        <v>1340</v>
      </c>
      <c r="M449" s="18">
        <v>252081.54</v>
      </c>
      <c r="N449" s="19" t="s">
        <v>29</v>
      </c>
    </row>
    <row r="450" spans="1:14">
      <c r="A450" s="21" t="s">
        <v>54</v>
      </c>
      <c r="B450" s="18">
        <v>26312</v>
      </c>
      <c r="C450" s="19" t="s">
        <v>1145</v>
      </c>
      <c r="D450" s="18">
        <v>10704</v>
      </c>
      <c r="E450" s="19" t="s">
        <v>1215</v>
      </c>
      <c r="F450" s="19" t="s">
        <v>1239</v>
      </c>
      <c r="G450" s="5"/>
      <c r="H450" s="19" t="s">
        <v>759</v>
      </c>
      <c r="I450" s="19" t="s">
        <v>34</v>
      </c>
      <c r="J450" s="19" t="s">
        <v>770</v>
      </c>
      <c r="K450" s="18">
        <v>307260</v>
      </c>
      <c r="L450" s="26" t="s">
        <v>1341</v>
      </c>
      <c r="M450" s="18">
        <v>393292.79999999999</v>
      </c>
      <c r="N450" s="19" t="s">
        <v>29</v>
      </c>
    </row>
    <row r="451" spans="1:14">
      <c r="A451" s="21" t="s">
        <v>54</v>
      </c>
      <c r="B451" s="18">
        <v>28958</v>
      </c>
      <c r="C451" s="19" t="s">
        <v>205</v>
      </c>
      <c r="D451" s="18">
        <v>10664</v>
      </c>
      <c r="E451" s="19" t="s">
        <v>1216</v>
      </c>
      <c r="F451" s="19" t="s">
        <v>1252</v>
      </c>
      <c r="G451" s="5"/>
      <c r="H451" s="19" t="s">
        <v>762</v>
      </c>
      <c r="I451" s="19" t="s">
        <v>34</v>
      </c>
      <c r="J451" s="19" t="s">
        <v>770</v>
      </c>
      <c r="K451" s="18">
        <v>30100</v>
      </c>
      <c r="L451" s="26" t="s">
        <v>1342</v>
      </c>
      <c r="M451" s="18">
        <v>35518</v>
      </c>
      <c r="N451" s="19" t="s">
        <v>29</v>
      </c>
    </row>
    <row r="452" spans="1:14">
      <c r="A452" s="21" t="s">
        <v>54</v>
      </c>
      <c r="B452" s="18">
        <v>5650</v>
      </c>
      <c r="C452" s="19" t="s">
        <v>1146</v>
      </c>
      <c r="D452" s="18">
        <v>10721</v>
      </c>
      <c r="E452" s="19" t="s">
        <v>1152</v>
      </c>
      <c r="F452" s="19" t="s">
        <v>1222</v>
      </c>
      <c r="G452" s="5"/>
      <c r="H452" s="19" t="s">
        <v>763</v>
      </c>
      <c r="I452" s="19" t="s">
        <v>34</v>
      </c>
      <c r="J452" s="19" t="s">
        <v>770</v>
      </c>
      <c r="K452" s="18">
        <v>18746</v>
      </c>
      <c r="L452" s="26" t="s">
        <v>1343</v>
      </c>
      <c r="M452" s="18">
        <v>23226.29</v>
      </c>
      <c r="N452" s="19" t="s">
        <v>29</v>
      </c>
    </row>
    <row r="453" spans="1:14">
      <c r="A453" s="21" t="s">
        <v>54</v>
      </c>
      <c r="B453" s="18">
        <v>1469</v>
      </c>
      <c r="C453" s="19" t="s">
        <v>1147</v>
      </c>
      <c r="D453" s="18">
        <v>10545</v>
      </c>
      <c r="E453" s="19" t="s">
        <v>1217</v>
      </c>
      <c r="F453" s="19" t="s">
        <v>658</v>
      </c>
      <c r="G453" s="5"/>
      <c r="H453" s="19" t="s">
        <v>756</v>
      </c>
      <c r="I453" s="19" t="s">
        <v>767</v>
      </c>
      <c r="J453" s="19" t="s">
        <v>770</v>
      </c>
      <c r="K453" s="18">
        <v>20000000</v>
      </c>
      <c r="L453" s="26" t="s">
        <v>1344</v>
      </c>
      <c r="M453" s="18">
        <v>25100016</v>
      </c>
      <c r="N453" s="19" t="s">
        <v>1347</v>
      </c>
    </row>
    <row r="454" spans="1:14">
      <c r="A454" s="21" t="s">
        <v>54</v>
      </c>
      <c r="B454" s="18">
        <v>28961</v>
      </c>
      <c r="C454" s="19" t="s">
        <v>213</v>
      </c>
      <c r="D454" s="18">
        <v>10694</v>
      </c>
      <c r="E454" s="19" t="s">
        <v>1170</v>
      </c>
      <c r="F454" s="19" t="s">
        <v>1220</v>
      </c>
      <c r="G454" s="5"/>
      <c r="H454" s="19" t="s">
        <v>759</v>
      </c>
      <c r="I454" s="19" t="s">
        <v>34</v>
      </c>
      <c r="J454" s="19" t="s">
        <v>770</v>
      </c>
      <c r="K454" s="18">
        <v>7500</v>
      </c>
      <c r="L454" s="26" t="s">
        <v>1345</v>
      </c>
      <c r="M454" s="18">
        <v>8850</v>
      </c>
      <c r="N454" s="19" t="s">
        <v>29</v>
      </c>
    </row>
    <row r="455" spans="1:14">
      <c r="A455" s="21" t="s">
        <v>54</v>
      </c>
      <c r="B455" s="22">
        <v>11876</v>
      </c>
      <c r="C455" s="23" t="s">
        <v>1148</v>
      </c>
      <c r="D455" s="22">
        <v>10665</v>
      </c>
      <c r="E455" s="23" t="s">
        <v>1218</v>
      </c>
      <c r="F455" s="23" t="s">
        <v>1252</v>
      </c>
      <c r="G455" s="5"/>
      <c r="H455" s="23" t="s">
        <v>759</v>
      </c>
      <c r="I455" s="23" t="s">
        <v>34</v>
      </c>
      <c r="J455" s="23" t="s">
        <v>770</v>
      </c>
      <c r="K455" s="22">
        <v>156700</v>
      </c>
      <c r="L455" s="27" t="s">
        <v>1346</v>
      </c>
      <c r="M455" s="22">
        <v>184906</v>
      </c>
      <c r="N455" s="23" t="s">
        <v>29</v>
      </c>
    </row>
    <row r="456" spans="1:14">
      <c r="A456" s="21"/>
      <c r="B456" s="4"/>
      <c r="C456" s="5"/>
      <c r="D456" s="5"/>
      <c r="E456" s="5"/>
      <c r="F456" s="6"/>
      <c r="G456" s="5"/>
      <c r="H456" s="5"/>
      <c r="I456" s="5"/>
      <c r="J456" s="5"/>
      <c r="K456" s="7"/>
      <c r="L456" s="8"/>
      <c r="M456" s="9"/>
      <c r="N456" s="5"/>
    </row>
    <row r="457" spans="1:14">
      <c r="A457" s="21"/>
      <c r="B457" s="4"/>
      <c r="C457" s="5"/>
      <c r="D457" s="5"/>
      <c r="E457" s="5"/>
      <c r="F457" s="6"/>
      <c r="G457" s="5"/>
      <c r="H457" s="5"/>
      <c r="I457" s="5"/>
      <c r="J457" s="5"/>
      <c r="K457" s="7"/>
      <c r="L457" s="8"/>
      <c r="M457" s="9"/>
      <c r="N457" s="5"/>
    </row>
    <row r="458" spans="1:14">
      <c r="A458" s="21"/>
      <c r="B458" s="4"/>
      <c r="C458" s="5"/>
      <c r="D458" s="5"/>
      <c r="E458" s="5"/>
      <c r="F458" s="6"/>
      <c r="G458" s="5"/>
      <c r="H458" s="5"/>
      <c r="I458" s="5"/>
      <c r="J458" s="5"/>
      <c r="K458" s="7"/>
      <c r="L458" s="8"/>
      <c r="M458" s="9"/>
      <c r="N458" s="5"/>
    </row>
    <row r="459" spans="1:14">
      <c r="A459" s="21"/>
      <c r="B459" s="4"/>
      <c r="C459" s="5"/>
      <c r="D459" s="5"/>
      <c r="E459" s="5"/>
      <c r="F459" s="6"/>
      <c r="G459" s="5"/>
      <c r="H459" s="5"/>
      <c r="I459" s="5"/>
      <c r="J459" s="5"/>
      <c r="K459" s="7"/>
      <c r="L459" s="8"/>
      <c r="M459" s="9"/>
      <c r="N459" s="5"/>
    </row>
    <row r="460" spans="1:14">
      <c r="A460" s="21"/>
      <c r="B460" s="4"/>
      <c r="C460" s="5"/>
      <c r="D460" s="5"/>
      <c r="E460" s="5"/>
      <c r="F460" s="6"/>
      <c r="G460" s="5"/>
      <c r="H460" s="5"/>
      <c r="I460" s="5"/>
      <c r="J460" s="5"/>
      <c r="K460" s="7"/>
      <c r="L460" s="8"/>
      <c r="M460" s="9"/>
      <c r="N460" s="5"/>
    </row>
    <row r="461" spans="1:14">
      <c r="A461" s="21"/>
      <c r="B461" s="4"/>
      <c r="C461" s="5"/>
      <c r="D461" s="5"/>
      <c r="E461" s="5"/>
      <c r="F461" s="6"/>
      <c r="G461" s="5"/>
      <c r="H461" s="5"/>
      <c r="I461" s="5"/>
      <c r="J461" s="5"/>
      <c r="K461" s="7"/>
      <c r="L461" s="8"/>
      <c r="M461" s="9"/>
      <c r="N461" s="5"/>
    </row>
    <row r="462" spans="1:14">
      <c r="A462" s="21"/>
      <c r="B462" s="4"/>
      <c r="C462" s="5"/>
      <c r="D462" s="5"/>
      <c r="E462" s="5"/>
      <c r="F462" s="6"/>
      <c r="G462" s="5"/>
      <c r="H462" s="5"/>
      <c r="I462" s="5"/>
      <c r="J462" s="5"/>
      <c r="K462" s="7"/>
      <c r="L462" s="8"/>
      <c r="M462" s="9"/>
      <c r="N462" s="5"/>
    </row>
    <row r="463" spans="1:14">
      <c r="A463" s="21"/>
      <c r="B463" s="4"/>
      <c r="C463" s="5"/>
      <c r="D463" s="5"/>
      <c r="E463" s="5"/>
      <c r="F463" s="6"/>
      <c r="G463" s="5"/>
      <c r="H463" s="5"/>
      <c r="I463" s="5"/>
      <c r="J463" s="5"/>
      <c r="K463" s="7"/>
      <c r="L463" s="8"/>
      <c r="M463" s="9"/>
      <c r="N463" s="5"/>
    </row>
    <row r="464" spans="1:14">
      <c r="A464" s="21"/>
      <c r="B464" s="4"/>
      <c r="C464" s="5"/>
      <c r="D464" s="5"/>
      <c r="E464" s="5"/>
      <c r="F464" s="6"/>
      <c r="G464" s="5"/>
      <c r="H464" s="5"/>
      <c r="I464" s="5"/>
      <c r="J464" s="5"/>
      <c r="K464" s="7"/>
      <c r="L464" s="8"/>
      <c r="M464" s="9"/>
      <c r="N464" s="5"/>
    </row>
    <row r="465" spans="1:14">
      <c r="A465" s="21"/>
      <c r="B465" s="4"/>
      <c r="C465" s="5"/>
      <c r="D465" s="5"/>
      <c r="E465" s="5"/>
      <c r="F465" s="6"/>
      <c r="G465" s="5"/>
      <c r="H465" s="5"/>
      <c r="I465" s="5"/>
      <c r="J465" s="5"/>
      <c r="K465" s="7"/>
      <c r="L465" s="8"/>
      <c r="M465" s="9"/>
      <c r="N465" s="5"/>
    </row>
    <row r="466" spans="1:14">
      <c r="A466" s="21"/>
      <c r="B466" s="4"/>
      <c r="C466" s="5"/>
      <c r="D466" s="5"/>
      <c r="E466" s="5"/>
      <c r="F466" s="6"/>
      <c r="G466" s="5"/>
      <c r="H466" s="5"/>
      <c r="I466" s="5"/>
      <c r="J466" s="5"/>
      <c r="K466" s="7"/>
      <c r="L466" s="8"/>
      <c r="M466" s="9"/>
      <c r="N466" s="5"/>
    </row>
    <row r="467" spans="1:14">
      <c r="A467" s="21"/>
      <c r="B467" s="4"/>
      <c r="C467" s="5"/>
      <c r="D467" s="5"/>
      <c r="E467" s="5"/>
      <c r="F467" s="6"/>
      <c r="G467" s="5"/>
      <c r="H467" s="5"/>
      <c r="I467" s="5"/>
      <c r="J467" s="5"/>
      <c r="K467" s="7"/>
      <c r="L467" s="8"/>
      <c r="M467" s="9"/>
      <c r="N467" s="5"/>
    </row>
    <row r="468" spans="1:14">
      <c r="A468" s="21"/>
      <c r="B468" s="4"/>
      <c r="C468" s="5"/>
      <c r="D468" s="5"/>
      <c r="E468" s="5"/>
      <c r="F468" s="6"/>
      <c r="G468" s="5"/>
      <c r="H468" s="5"/>
      <c r="I468" s="5"/>
      <c r="J468" s="5"/>
      <c r="K468" s="7"/>
      <c r="L468" s="8"/>
      <c r="M468" s="9"/>
      <c r="N468" s="5"/>
    </row>
    <row r="469" spans="1:14">
      <c r="A469" s="21"/>
      <c r="B469" s="4"/>
      <c r="C469" s="5"/>
      <c r="D469" s="5"/>
      <c r="E469" s="5"/>
      <c r="F469" s="6"/>
      <c r="G469" s="5"/>
      <c r="H469" s="5"/>
      <c r="I469" s="5"/>
      <c r="J469" s="5"/>
      <c r="K469" s="7"/>
      <c r="L469" s="8"/>
      <c r="M469" s="9"/>
      <c r="N469" s="5"/>
    </row>
    <row r="470" spans="1:14">
      <c r="A470" s="21"/>
      <c r="B470" s="4"/>
      <c r="C470" s="5"/>
      <c r="D470" s="5"/>
      <c r="E470" s="5"/>
      <c r="F470" s="6"/>
      <c r="G470" s="5"/>
      <c r="H470" s="5"/>
      <c r="I470" s="5"/>
      <c r="J470" s="5"/>
      <c r="K470" s="7"/>
      <c r="L470" s="8"/>
      <c r="M470" s="9"/>
      <c r="N470" s="5"/>
    </row>
    <row r="471" spans="1:14">
      <c r="A471" s="21"/>
      <c r="B471" s="4"/>
      <c r="C471" s="5"/>
      <c r="D471" s="5"/>
      <c r="E471" s="5"/>
      <c r="F471" s="6"/>
      <c r="G471" s="5"/>
      <c r="H471" s="5"/>
      <c r="I471" s="5"/>
      <c r="J471" s="5"/>
      <c r="K471" s="7"/>
      <c r="L471" s="8"/>
      <c r="M471" s="9"/>
      <c r="N471" s="5"/>
    </row>
    <row r="472" spans="1:14">
      <c r="A472" s="21"/>
      <c r="B472" s="4"/>
      <c r="C472" s="5"/>
      <c r="D472" s="5"/>
      <c r="E472" s="5"/>
      <c r="F472" s="6"/>
      <c r="G472" s="5"/>
      <c r="H472" s="5"/>
      <c r="I472" s="5"/>
      <c r="J472" s="5"/>
      <c r="K472" s="7"/>
      <c r="L472" s="8"/>
      <c r="M472" s="9"/>
      <c r="N472" s="5"/>
    </row>
    <row r="473" spans="1:14">
      <c r="A473" s="21"/>
      <c r="B473" s="4"/>
      <c r="C473" s="5"/>
      <c r="D473" s="5"/>
      <c r="E473" s="5"/>
      <c r="F473" s="6"/>
      <c r="G473" s="5"/>
      <c r="H473" s="5"/>
      <c r="I473" s="5"/>
      <c r="J473" s="5"/>
      <c r="K473" s="7"/>
      <c r="L473" s="8"/>
      <c r="M473" s="9"/>
      <c r="N473" s="5"/>
    </row>
    <row r="474" spans="1:14">
      <c r="A474" s="21"/>
      <c r="B474" s="4"/>
      <c r="C474" s="5"/>
      <c r="D474" s="5"/>
      <c r="E474" s="5"/>
      <c r="F474" s="6"/>
      <c r="G474" s="5"/>
      <c r="H474" s="5"/>
      <c r="I474" s="5"/>
      <c r="J474" s="5"/>
      <c r="K474" s="7"/>
      <c r="L474" s="8"/>
      <c r="M474" s="9"/>
      <c r="N474" s="5"/>
    </row>
    <row r="475" spans="1:14">
      <c r="A475" s="21"/>
      <c r="B475" s="4"/>
      <c r="C475" s="5"/>
      <c r="D475" s="5"/>
      <c r="E475" s="5"/>
      <c r="F475" s="6"/>
      <c r="G475" s="5"/>
      <c r="H475" s="5"/>
      <c r="I475" s="5"/>
      <c r="J475" s="5"/>
      <c r="K475" s="7"/>
      <c r="L475" s="8"/>
      <c r="M475" s="9"/>
      <c r="N475" s="5"/>
    </row>
    <row r="476" spans="1:14">
      <c r="A476" s="21"/>
      <c r="B476" s="4"/>
      <c r="C476" s="5"/>
      <c r="D476" s="5"/>
      <c r="E476" s="5"/>
      <c r="F476" s="6"/>
      <c r="G476" s="5"/>
      <c r="H476" s="5"/>
      <c r="I476" s="5"/>
      <c r="J476" s="5"/>
      <c r="K476" s="7"/>
      <c r="L476" s="8"/>
      <c r="M476" s="9"/>
      <c r="N476" s="5"/>
    </row>
    <row r="477" spans="1:14">
      <c r="A477" s="21"/>
      <c r="B477" s="4"/>
      <c r="C477" s="5"/>
      <c r="D477" s="5"/>
      <c r="E477" s="5"/>
      <c r="F477" s="6"/>
      <c r="G477" s="5"/>
      <c r="H477" s="5"/>
      <c r="I477" s="5"/>
      <c r="J477" s="5"/>
      <c r="K477" s="7"/>
      <c r="L477" s="8"/>
      <c r="M477" s="9"/>
      <c r="N477" s="5"/>
    </row>
    <row r="478" spans="1:14">
      <c r="A478" s="21"/>
      <c r="B478" s="4"/>
      <c r="C478" s="5"/>
      <c r="D478" s="5"/>
      <c r="E478" s="5"/>
      <c r="F478" s="6"/>
      <c r="G478" s="5"/>
      <c r="H478" s="5"/>
      <c r="I478" s="5"/>
      <c r="J478" s="5"/>
      <c r="K478" s="7"/>
      <c r="L478" s="8"/>
      <c r="M478" s="9"/>
      <c r="N478" s="5"/>
    </row>
    <row r="479" spans="1:14">
      <c r="A479" s="21"/>
      <c r="B479" s="4"/>
      <c r="C479" s="5"/>
      <c r="D479" s="5"/>
      <c r="E479" s="5"/>
      <c r="F479" s="6"/>
      <c r="G479" s="5"/>
      <c r="H479" s="5"/>
      <c r="I479" s="5"/>
      <c r="J479" s="5"/>
      <c r="K479" s="7"/>
      <c r="L479" s="8"/>
      <c r="M479" s="9"/>
      <c r="N479" s="5"/>
    </row>
    <row r="480" spans="1:14">
      <c r="A480" s="21"/>
      <c r="B480" s="4"/>
      <c r="C480" s="5"/>
      <c r="D480" s="5"/>
      <c r="E480" s="5"/>
      <c r="F480" s="6"/>
      <c r="G480" s="5"/>
      <c r="H480" s="5"/>
      <c r="I480" s="5"/>
      <c r="J480" s="5"/>
      <c r="K480" s="7"/>
      <c r="L480" s="8"/>
      <c r="M480" s="9"/>
      <c r="N480" s="5"/>
    </row>
    <row r="481" spans="1:14">
      <c r="A481" s="21"/>
      <c r="B481" s="4"/>
      <c r="C481" s="5"/>
      <c r="D481" s="5"/>
      <c r="E481" s="5"/>
      <c r="F481" s="6"/>
      <c r="G481" s="5"/>
      <c r="H481" s="5"/>
      <c r="I481" s="5"/>
      <c r="J481" s="5"/>
      <c r="K481" s="7"/>
      <c r="L481" s="8"/>
      <c r="M481" s="9"/>
      <c r="N481" s="5"/>
    </row>
    <row r="482" spans="1:14">
      <c r="A482" s="21"/>
      <c r="B482" s="4"/>
      <c r="C482" s="5"/>
      <c r="D482" s="5"/>
      <c r="E482" s="5"/>
      <c r="F482" s="6"/>
      <c r="G482" s="5"/>
      <c r="H482" s="5"/>
      <c r="I482" s="5"/>
      <c r="J482" s="5"/>
      <c r="K482" s="7"/>
      <c r="L482" s="8"/>
      <c r="M482" s="9"/>
      <c r="N482" s="5"/>
    </row>
    <row r="483" spans="1:14">
      <c r="A483" s="21"/>
      <c r="B483" s="4"/>
      <c r="C483" s="5"/>
      <c r="D483" s="5"/>
      <c r="E483" s="5"/>
      <c r="F483" s="6"/>
      <c r="G483" s="5"/>
      <c r="H483" s="5"/>
      <c r="I483" s="5"/>
      <c r="J483" s="5"/>
      <c r="K483" s="7"/>
      <c r="L483" s="8"/>
      <c r="M483" s="9"/>
      <c r="N483" s="5"/>
    </row>
    <row r="484" spans="1:14">
      <c r="A484" s="21"/>
      <c r="B484" s="4"/>
      <c r="C484" s="5"/>
      <c r="D484" s="5"/>
      <c r="E484" s="5"/>
      <c r="F484" s="6"/>
      <c r="G484" s="5"/>
      <c r="H484" s="5"/>
      <c r="I484" s="5"/>
      <c r="J484" s="5"/>
      <c r="K484" s="7"/>
      <c r="L484" s="8"/>
      <c r="M484" s="9"/>
      <c r="N484" s="5"/>
    </row>
    <row r="485" spans="1:14">
      <c r="A485" s="21"/>
      <c r="B485" s="4"/>
      <c r="C485" s="5"/>
      <c r="D485" s="5"/>
      <c r="E485" s="5"/>
      <c r="F485" s="6"/>
      <c r="G485" s="5"/>
      <c r="H485" s="5"/>
      <c r="I485" s="5"/>
      <c r="J485" s="5"/>
      <c r="K485" s="7"/>
      <c r="L485" s="8"/>
      <c r="M485" s="9"/>
      <c r="N485" s="5"/>
    </row>
    <row r="486" spans="1:14">
      <c r="A486" s="21"/>
      <c r="B486" s="4"/>
      <c r="C486" s="5"/>
      <c r="D486" s="5"/>
      <c r="E486" s="5"/>
      <c r="F486" s="6"/>
      <c r="G486" s="5"/>
      <c r="H486" s="5"/>
      <c r="I486" s="5"/>
      <c r="J486" s="5"/>
      <c r="K486" s="7"/>
      <c r="L486" s="8"/>
      <c r="M486" s="9"/>
      <c r="N486" s="5"/>
    </row>
    <row r="487" spans="1:14">
      <c r="A487" s="21"/>
      <c r="B487" s="4"/>
      <c r="C487" s="5"/>
      <c r="D487" s="5"/>
      <c r="E487" s="5"/>
      <c r="F487" s="6"/>
      <c r="G487" s="5"/>
      <c r="H487" s="5"/>
      <c r="I487" s="5"/>
      <c r="J487" s="5"/>
      <c r="K487" s="7"/>
      <c r="L487" s="8"/>
      <c r="M487" s="9"/>
      <c r="N487" s="5"/>
    </row>
    <row r="488" spans="1:14">
      <c r="A488" s="21"/>
      <c r="B488" s="4"/>
      <c r="C488" s="5"/>
      <c r="D488" s="5"/>
      <c r="E488" s="5"/>
      <c r="F488" s="6"/>
      <c r="G488" s="5"/>
      <c r="H488" s="5"/>
      <c r="I488" s="5"/>
      <c r="J488" s="5"/>
      <c r="K488" s="7"/>
      <c r="L488" s="8"/>
      <c r="M488" s="9"/>
      <c r="N488" s="5"/>
    </row>
    <row r="489" spans="1:14">
      <c r="A489" s="21"/>
      <c r="B489" s="4"/>
      <c r="C489" s="5"/>
      <c r="D489" s="5"/>
      <c r="E489" s="5"/>
      <c r="F489" s="6"/>
      <c r="G489" s="5"/>
      <c r="H489" s="5"/>
      <c r="I489" s="5"/>
      <c r="J489" s="5"/>
      <c r="K489" s="7"/>
      <c r="L489" s="8"/>
      <c r="M489" s="9"/>
      <c r="N489" s="5"/>
    </row>
    <row r="490" spans="1:14">
      <c r="A490" s="21"/>
      <c r="B490" s="4"/>
      <c r="C490" s="5"/>
      <c r="D490" s="5"/>
      <c r="E490" s="5"/>
      <c r="F490" s="6"/>
      <c r="G490" s="5"/>
      <c r="H490" s="5"/>
      <c r="I490" s="5"/>
      <c r="J490" s="5"/>
      <c r="K490" s="7"/>
      <c r="L490" s="8"/>
      <c r="M490" s="9"/>
      <c r="N490" s="5"/>
    </row>
    <row r="491" spans="1:14">
      <c r="A491" s="21"/>
      <c r="B491" s="4"/>
      <c r="C491" s="5"/>
      <c r="D491" s="5"/>
      <c r="E491" s="5"/>
      <c r="F491" s="6"/>
      <c r="G491" s="5"/>
      <c r="H491" s="5"/>
      <c r="I491" s="5"/>
      <c r="J491" s="5"/>
      <c r="K491" s="7"/>
      <c r="L491" s="8"/>
      <c r="M491" s="9"/>
      <c r="N491" s="5"/>
    </row>
    <row r="492" spans="1:14">
      <c r="A492" s="21"/>
      <c r="B492" s="4"/>
      <c r="C492" s="5"/>
      <c r="D492" s="5"/>
      <c r="E492" s="5"/>
      <c r="F492" s="6"/>
      <c r="G492" s="5"/>
      <c r="H492" s="5"/>
      <c r="I492" s="5"/>
      <c r="J492" s="5"/>
      <c r="K492" s="7"/>
      <c r="L492" s="8"/>
      <c r="M492" s="9"/>
      <c r="N492" s="5"/>
    </row>
    <row r="493" spans="1:14">
      <c r="A493" s="3"/>
      <c r="B493" s="4"/>
      <c r="C493" s="5"/>
      <c r="D493" s="5"/>
      <c r="E493" s="5"/>
      <c r="F493" s="6"/>
      <c r="G493" s="5"/>
      <c r="H493" s="5"/>
      <c r="I493" s="5"/>
      <c r="J493" s="5"/>
      <c r="K493" s="7"/>
      <c r="L493" s="8"/>
      <c r="M493" s="9"/>
      <c r="N493" s="5"/>
    </row>
    <row r="494" spans="1:14">
      <c r="A494" s="3"/>
      <c r="B494" s="4"/>
      <c r="C494" s="5"/>
      <c r="D494" s="5"/>
      <c r="E494" s="5"/>
      <c r="F494" s="6"/>
      <c r="G494" s="5"/>
      <c r="H494" s="5"/>
      <c r="I494" s="5"/>
      <c r="J494" s="5"/>
      <c r="K494" s="7"/>
      <c r="L494" s="8"/>
      <c r="M494" s="9"/>
      <c r="N494" s="5"/>
    </row>
    <row r="495" spans="1:14">
      <c r="A495" s="3"/>
      <c r="B495" s="4"/>
      <c r="C495" s="5"/>
      <c r="D495" s="5"/>
      <c r="E495" s="5"/>
      <c r="F495" s="6"/>
      <c r="G495" s="5"/>
      <c r="H495" s="5"/>
      <c r="I495" s="5"/>
      <c r="J495" s="5"/>
      <c r="K495" s="7"/>
      <c r="L495" s="8"/>
      <c r="M495" s="9"/>
      <c r="N495" s="5"/>
    </row>
    <row r="496" spans="1:14">
      <c r="A496" s="3"/>
      <c r="B496" s="4"/>
      <c r="C496" s="5"/>
      <c r="D496" s="5"/>
      <c r="E496" s="5"/>
      <c r="F496" s="6"/>
      <c r="G496" s="5"/>
      <c r="H496" s="5"/>
      <c r="I496" s="5"/>
      <c r="J496" s="5"/>
      <c r="K496" s="7"/>
      <c r="L496" s="8"/>
      <c r="M496" s="9"/>
      <c r="N496" s="5"/>
    </row>
    <row r="497" spans="1:14">
      <c r="A497" s="3"/>
      <c r="B497" s="4"/>
      <c r="C497" s="5"/>
      <c r="D497" s="5"/>
      <c r="E497" s="5"/>
      <c r="F497" s="6"/>
      <c r="G497" s="5"/>
      <c r="H497" s="5"/>
      <c r="I497" s="5"/>
      <c r="J497" s="5"/>
      <c r="K497" s="7"/>
      <c r="L497" s="8"/>
      <c r="M497" s="9"/>
      <c r="N497" s="5"/>
    </row>
    <row r="498" spans="1:14">
      <c r="A498" s="3"/>
      <c r="B498" s="4"/>
      <c r="C498" s="5"/>
      <c r="D498" s="5"/>
      <c r="E498" s="5"/>
      <c r="F498" s="6"/>
      <c r="G498" s="5"/>
      <c r="H498" s="5"/>
      <c r="I498" s="5"/>
      <c r="J498" s="5"/>
      <c r="K498" s="7"/>
      <c r="L498" s="8"/>
      <c r="M498" s="9"/>
      <c r="N498" s="5"/>
    </row>
    <row r="499" spans="1:14">
      <c r="A499" s="3"/>
      <c r="B499" s="4"/>
      <c r="C499" s="5"/>
      <c r="D499" s="5"/>
      <c r="E499" s="5"/>
      <c r="F499" s="6"/>
      <c r="G499" s="5"/>
      <c r="H499" s="5"/>
      <c r="I499" s="5"/>
      <c r="J499" s="5"/>
      <c r="K499" s="7"/>
      <c r="L499" s="8"/>
      <c r="M499" s="9"/>
      <c r="N499" s="5"/>
    </row>
    <row r="500" spans="1:14">
      <c r="A500" s="3"/>
      <c r="B500" s="4"/>
      <c r="C500" s="5"/>
      <c r="D500" s="5"/>
      <c r="E500" s="5"/>
      <c r="F500" s="6"/>
      <c r="G500" s="5"/>
      <c r="H500" s="5"/>
      <c r="I500" s="5"/>
      <c r="J500" s="5"/>
      <c r="K500" s="7"/>
      <c r="L500" s="8"/>
      <c r="M500" s="9"/>
      <c r="N500" s="5"/>
    </row>
    <row r="501" spans="1:14">
      <c r="A501" s="3"/>
      <c r="B501" s="4"/>
      <c r="C501" s="5"/>
      <c r="D501" s="5"/>
      <c r="E501" s="5"/>
      <c r="F501" s="6"/>
      <c r="G501" s="5"/>
      <c r="H501" s="5"/>
      <c r="I501" s="5"/>
      <c r="J501" s="5"/>
      <c r="K501" s="7"/>
      <c r="L501" s="8"/>
      <c r="M501" s="9"/>
      <c r="N501" s="5"/>
    </row>
    <row r="502" spans="1:14">
      <c r="A502" s="3"/>
      <c r="B502" s="4"/>
      <c r="C502" s="5"/>
      <c r="D502" s="5"/>
      <c r="E502" s="5"/>
      <c r="F502" s="6"/>
      <c r="G502" s="5"/>
      <c r="H502" s="5"/>
      <c r="I502" s="5"/>
      <c r="J502" s="5"/>
      <c r="K502" s="7"/>
      <c r="L502" s="8"/>
      <c r="M502" s="9"/>
      <c r="N502" s="5"/>
    </row>
    <row r="503" spans="1:14">
      <c r="A503" s="3"/>
      <c r="B503" s="4"/>
      <c r="C503" s="5"/>
      <c r="D503" s="5"/>
      <c r="E503" s="5"/>
      <c r="F503" s="6"/>
      <c r="G503" s="5"/>
      <c r="H503" s="5"/>
      <c r="I503" s="5"/>
      <c r="J503" s="5"/>
      <c r="K503" s="7"/>
      <c r="L503" s="8"/>
      <c r="M503" s="9"/>
      <c r="N503" s="5"/>
    </row>
    <row r="504" spans="1:14">
      <c r="A504" s="3"/>
      <c r="B504" s="4"/>
      <c r="C504" s="5"/>
      <c r="D504" s="5"/>
      <c r="E504" s="5"/>
      <c r="F504" s="6"/>
      <c r="G504" s="5"/>
      <c r="H504" s="5"/>
      <c r="I504" s="5"/>
      <c r="J504" s="5"/>
      <c r="K504" s="7"/>
      <c r="L504" s="8"/>
      <c r="M504" s="9"/>
      <c r="N504" s="5"/>
    </row>
    <row r="505" spans="1:14">
      <c r="A505" s="3"/>
      <c r="B505" s="4"/>
      <c r="C505" s="5"/>
      <c r="D505" s="5"/>
      <c r="E505" s="5"/>
      <c r="F505" s="6"/>
      <c r="G505" s="5"/>
      <c r="H505" s="5"/>
      <c r="I505" s="5"/>
      <c r="J505" s="5"/>
      <c r="K505" s="7"/>
      <c r="L505" s="8"/>
      <c r="M505" s="9"/>
      <c r="N505" s="5"/>
    </row>
    <row r="506" spans="1:14">
      <c r="A506" s="3"/>
      <c r="B506" s="4"/>
      <c r="C506" s="5"/>
      <c r="D506" s="5"/>
      <c r="E506" s="5"/>
      <c r="F506" s="6"/>
      <c r="G506" s="5"/>
      <c r="H506" s="5"/>
      <c r="I506" s="5"/>
      <c r="J506" s="5"/>
      <c r="K506" s="7"/>
      <c r="L506" s="8"/>
      <c r="M506" s="9"/>
      <c r="N506" s="5"/>
    </row>
    <row r="507" spans="1:14">
      <c r="A507" s="3"/>
      <c r="B507" s="4"/>
      <c r="C507" s="5"/>
      <c r="D507" s="5"/>
      <c r="E507" s="5"/>
      <c r="F507" s="6"/>
      <c r="G507" s="5"/>
      <c r="H507" s="5"/>
      <c r="I507" s="5"/>
      <c r="J507" s="5"/>
      <c r="K507" s="7"/>
      <c r="L507" s="8"/>
      <c r="M507" s="9"/>
      <c r="N507" s="5"/>
    </row>
    <row r="508" spans="1:14">
      <c r="A508" s="3"/>
      <c r="B508" s="4"/>
      <c r="C508" s="5"/>
      <c r="D508" s="5"/>
      <c r="E508" s="5"/>
      <c r="F508" s="6"/>
      <c r="G508" s="5"/>
      <c r="H508" s="5"/>
      <c r="I508" s="5"/>
      <c r="J508" s="5"/>
      <c r="K508" s="7"/>
      <c r="L508" s="8"/>
      <c r="M508" s="9"/>
      <c r="N508" s="5"/>
    </row>
    <row r="509" spans="1:14">
      <c r="A509" s="3"/>
      <c r="B509" s="4"/>
      <c r="C509" s="5"/>
      <c r="D509" s="5"/>
      <c r="E509" s="5"/>
      <c r="F509" s="6"/>
      <c r="G509" s="5"/>
      <c r="H509" s="5"/>
      <c r="I509" s="5"/>
      <c r="J509" s="5"/>
      <c r="K509" s="7"/>
      <c r="L509" s="8"/>
      <c r="M509" s="9"/>
      <c r="N509" s="5"/>
    </row>
    <row r="510" spans="1:14">
      <c r="A510" s="3"/>
      <c r="B510" s="4"/>
      <c r="C510" s="5"/>
      <c r="D510" s="5"/>
      <c r="E510" s="5"/>
      <c r="F510" s="6"/>
      <c r="G510" s="5"/>
      <c r="H510" s="5"/>
      <c r="I510" s="5"/>
      <c r="J510" s="5"/>
      <c r="K510" s="7"/>
      <c r="L510" s="8"/>
      <c r="M510" s="9"/>
      <c r="N510" s="5"/>
    </row>
    <row r="511" spans="1:14">
      <c r="A511" s="3"/>
      <c r="B511" s="4"/>
      <c r="C511" s="5"/>
      <c r="D511" s="5"/>
      <c r="E511" s="5"/>
      <c r="F511" s="6"/>
      <c r="G511" s="5"/>
      <c r="H511" s="5"/>
      <c r="I511" s="5"/>
      <c r="J511" s="5"/>
      <c r="K511" s="7"/>
      <c r="L511" s="8"/>
      <c r="M511" s="9"/>
      <c r="N511" s="5"/>
    </row>
    <row r="512" spans="1:14">
      <c r="A512" s="3"/>
      <c r="B512" s="4"/>
      <c r="C512" s="5"/>
      <c r="D512" s="5"/>
      <c r="E512" s="5"/>
      <c r="F512" s="6"/>
      <c r="G512" s="5"/>
      <c r="H512" s="5"/>
      <c r="I512" s="5"/>
      <c r="J512" s="5"/>
      <c r="K512" s="7"/>
      <c r="L512" s="8"/>
      <c r="M512" s="9"/>
      <c r="N512" s="5"/>
    </row>
    <row r="513" spans="1:14">
      <c r="A513" s="3"/>
      <c r="B513" s="4"/>
      <c r="C513" s="5"/>
      <c r="D513" s="5"/>
      <c r="E513" s="5"/>
      <c r="F513" s="6"/>
      <c r="G513" s="5"/>
      <c r="H513" s="5"/>
      <c r="I513" s="5"/>
      <c r="J513" s="5"/>
      <c r="K513" s="7"/>
      <c r="L513" s="8"/>
      <c r="M513" s="9"/>
      <c r="N513" s="5"/>
    </row>
    <row r="514" spans="1:14">
      <c r="A514" s="3"/>
      <c r="B514" s="4"/>
      <c r="C514" s="5"/>
      <c r="D514" s="5"/>
      <c r="E514" s="5"/>
      <c r="F514" s="6"/>
      <c r="G514" s="5"/>
      <c r="H514" s="5"/>
      <c r="I514" s="5"/>
      <c r="J514" s="5"/>
      <c r="K514" s="7"/>
      <c r="L514" s="8"/>
      <c r="M514" s="9"/>
      <c r="N514" s="5"/>
    </row>
    <row r="515" spans="1:14">
      <c r="A515" s="3"/>
      <c r="B515" s="4"/>
      <c r="C515" s="5"/>
      <c r="D515" s="5"/>
      <c r="E515" s="5"/>
      <c r="F515" s="6"/>
      <c r="G515" s="5"/>
      <c r="H515" s="5"/>
      <c r="I515" s="5"/>
      <c r="J515" s="5"/>
      <c r="K515" s="7"/>
      <c r="L515" s="8"/>
      <c r="M515" s="9"/>
      <c r="N515" s="5"/>
    </row>
    <row r="516" spans="1:14">
      <c r="A516" s="3"/>
      <c r="B516" s="4"/>
      <c r="C516" s="5"/>
      <c r="D516" s="5"/>
      <c r="E516" s="5"/>
      <c r="F516" s="6"/>
      <c r="G516" s="5"/>
      <c r="H516" s="5"/>
      <c r="I516" s="5"/>
      <c r="J516" s="5"/>
      <c r="K516" s="7"/>
      <c r="L516" s="8"/>
      <c r="M516" s="9"/>
      <c r="N516" s="5"/>
    </row>
    <row r="517" spans="1:14">
      <c r="A517" s="3"/>
      <c r="B517" s="4"/>
      <c r="C517" s="5"/>
      <c r="D517" s="5"/>
      <c r="E517" s="5"/>
      <c r="F517" s="6"/>
      <c r="G517" s="5"/>
      <c r="H517" s="5"/>
      <c r="I517" s="5"/>
      <c r="J517" s="5"/>
      <c r="K517" s="7"/>
      <c r="L517" s="8"/>
      <c r="M517" s="9"/>
      <c r="N517" s="5"/>
    </row>
    <row r="518" spans="1:14">
      <c r="A518" s="3"/>
      <c r="B518" s="4"/>
      <c r="C518" s="5"/>
      <c r="D518" s="5"/>
      <c r="E518" s="5"/>
      <c r="F518" s="6"/>
      <c r="G518" s="5"/>
      <c r="H518" s="5"/>
      <c r="I518" s="5"/>
      <c r="J518" s="5"/>
      <c r="K518" s="7"/>
      <c r="L518" s="8"/>
      <c r="M518" s="9"/>
      <c r="N518" s="5"/>
    </row>
    <row r="519" spans="1:14">
      <c r="A519" s="3"/>
      <c r="B519" s="4"/>
      <c r="C519" s="5"/>
      <c r="D519" s="5"/>
      <c r="E519" s="5"/>
      <c r="F519" s="6"/>
      <c r="G519" s="5"/>
      <c r="H519" s="5"/>
      <c r="I519" s="5"/>
      <c r="J519" s="5"/>
      <c r="K519" s="7"/>
      <c r="L519" s="8"/>
      <c r="M519" s="9"/>
      <c r="N519" s="5"/>
    </row>
    <row r="520" spans="1:14">
      <c r="A520" s="3"/>
      <c r="B520" s="4"/>
      <c r="C520" s="5"/>
      <c r="D520" s="5"/>
      <c r="E520" s="5"/>
      <c r="F520" s="6"/>
      <c r="G520" s="5"/>
      <c r="H520" s="5"/>
      <c r="I520" s="5"/>
      <c r="J520" s="5"/>
      <c r="K520" s="7"/>
      <c r="L520" s="8"/>
      <c r="M520" s="9"/>
      <c r="N520" s="5"/>
    </row>
    <row r="521" spans="1:14">
      <c r="A521" s="3"/>
      <c r="B521" s="4"/>
      <c r="C521" s="5"/>
      <c r="D521" s="5"/>
      <c r="E521" s="5"/>
      <c r="F521" s="6"/>
      <c r="G521" s="5"/>
      <c r="H521" s="5"/>
      <c r="I521" s="5"/>
      <c r="J521" s="5"/>
      <c r="K521" s="7"/>
      <c r="L521" s="8"/>
      <c r="M521" s="9"/>
      <c r="N521" s="5"/>
    </row>
    <row r="522" spans="1:14">
      <c r="A522" s="3"/>
      <c r="B522" s="4"/>
      <c r="C522" s="5"/>
      <c r="D522" s="5"/>
      <c r="E522" s="5"/>
      <c r="F522" s="6"/>
      <c r="G522" s="5"/>
      <c r="H522" s="5"/>
      <c r="I522" s="5"/>
      <c r="J522" s="5"/>
      <c r="K522" s="7"/>
      <c r="L522" s="8"/>
      <c r="M522" s="9"/>
      <c r="N522" s="5"/>
    </row>
    <row r="523" spans="1:14">
      <c r="A523" s="3"/>
      <c r="B523" s="4"/>
      <c r="C523" s="5"/>
      <c r="D523" s="5"/>
      <c r="E523" s="5"/>
      <c r="F523" s="6"/>
      <c r="G523" s="5"/>
      <c r="H523" s="5"/>
      <c r="I523" s="5"/>
      <c r="J523" s="5"/>
      <c r="K523" s="7"/>
      <c r="L523" s="8"/>
      <c r="M523" s="9"/>
      <c r="N523" s="5"/>
    </row>
    <row r="524" spans="1:14">
      <c r="A524" s="3"/>
      <c r="B524" s="4"/>
      <c r="C524" s="5"/>
      <c r="D524" s="5"/>
      <c r="E524" s="5"/>
      <c r="F524" s="6"/>
      <c r="G524" s="5"/>
      <c r="H524" s="5"/>
      <c r="I524" s="5"/>
      <c r="J524" s="5"/>
      <c r="K524" s="7"/>
      <c r="L524" s="8"/>
      <c r="M524" s="9"/>
      <c r="N524" s="5"/>
    </row>
    <row r="525" spans="1:14">
      <c r="A525" s="3"/>
      <c r="B525" s="4"/>
      <c r="C525" s="5"/>
      <c r="D525" s="5"/>
      <c r="E525" s="5"/>
      <c r="F525" s="6"/>
      <c r="G525" s="5"/>
      <c r="H525" s="5"/>
      <c r="I525" s="5"/>
      <c r="J525" s="5"/>
      <c r="K525" s="7"/>
      <c r="L525" s="8"/>
      <c r="M525" s="9"/>
      <c r="N525" s="5"/>
    </row>
    <row r="526" spans="1:14">
      <c r="A526" s="3"/>
      <c r="B526" s="4"/>
      <c r="C526" s="5"/>
      <c r="D526" s="5"/>
      <c r="E526" s="5"/>
      <c r="F526" s="6"/>
      <c r="G526" s="5"/>
      <c r="H526" s="5"/>
      <c r="I526" s="5"/>
      <c r="J526" s="5"/>
      <c r="K526" s="7"/>
      <c r="L526" s="8"/>
      <c r="M526" s="9"/>
      <c r="N526" s="5"/>
    </row>
    <row r="527" spans="1:14">
      <c r="A527" s="3"/>
      <c r="B527" s="4"/>
      <c r="C527" s="5"/>
      <c r="D527" s="5"/>
      <c r="E527" s="5"/>
      <c r="F527" s="6"/>
      <c r="G527" s="5"/>
      <c r="H527" s="5"/>
      <c r="I527" s="5"/>
      <c r="J527" s="5"/>
      <c r="K527" s="7"/>
      <c r="L527" s="8"/>
      <c r="M527" s="9"/>
      <c r="N527" s="5"/>
    </row>
    <row r="528" spans="1:14">
      <c r="A528" s="3"/>
      <c r="B528" s="4"/>
      <c r="C528" s="5"/>
      <c r="D528" s="5"/>
      <c r="E528" s="5"/>
      <c r="F528" s="6"/>
      <c r="G528" s="5"/>
      <c r="H528" s="5"/>
      <c r="I528" s="5"/>
      <c r="J528" s="5"/>
      <c r="K528" s="7"/>
      <c r="L528" s="8"/>
      <c r="M528" s="9"/>
      <c r="N528" s="5"/>
    </row>
    <row r="529" spans="1:14">
      <c r="A529" s="3"/>
      <c r="B529" s="4"/>
      <c r="C529" s="5"/>
      <c r="D529" s="5"/>
      <c r="E529" s="5"/>
      <c r="F529" s="6"/>
      <c r="G529" s="5"/>
      <c r="H529" s="5"/>
      <c r="I529" s="5"/>
      <c r="J529" s="5"/>
      <c r="K529" s="7"/>
      <c r="L529" s="8"/>
      <c r="M529" s="9"/>
      <c r="N529" s="5"/>
    </row>
    <row r="530" spans="1:14">
      <c r="A530" s="3"/>
      <c r="B530" s="4"/>
      <c r="C530" s="5"/>
      <c r="D530" s="5"/>
      <c r="E530" s="5"/>
      <c r="F530" s="6"/>
      <c r="G530" s="5"/>
      <c r="H530" s="5"/>
      <c r="I530" s="5"/>
      <c r="J530" s="5"/>
      <c r="K530" s="7"/>
      <c r="L530" s="8"/>
      <c r="M530" s="9"/>
      <c r="N530" s="5"/>
    </row>
    <row r="531" spans="1:14">
      <c r="A531" s="3"/>
      <c r="B531" s="4"/>
      <c r="C531" s="5"/>
      <c r="D531" s="5"/>
      <c r="E531" s="5"/>
      <c r="F531" s="6"/>
      <c r="G531" s="5"/>
      <c r="H531" s="5"/>
      <c r="I531" s="5"/>
      <c r="J531" s="5"/>
      <c r="K531" s="7"/>
      <c r="L531" s="8"/>
      <c r="M531" s="9"/>
      <c r="N531" s="5"/>
    </row>
    <row r="532" spans="1:14">
      <c r="A532" s="3"/>
      <c r="B532" s="4"/>
      <c r="C532" s="5"/>
      <c r="D532" s="5"/>
      <c r="E532" s="5"/>
      <c r="F532" s="6"/>
      <c r="G532" s="5"/>
      <c r="H532" s="5"/>
      <c r="I532" s="5"/>
      <c r="J532" s="5"/>
      <c r="K532" s="7"/>
      <c r="L532" s="8"/>
      <c r="M532" s="9"/>
      <c r="N532" s="5"/>
    </row>
    <row r="533" spans="1:14">
      <c r="A533" s="3"/>
      <c r="B533" s="4"/>
      <c r="C533" s="5"/>
      <c r="D533" s="5"/>
      <c r="E533" s="5"/>
      <c r="F533" s="6"/>
      <c r="G533" s="5"/>
      <c r="H533" s="5"/>
      <c r="I533" s="5"/>
      <c r="J533" s="5"/>
      <c r="K533" s="7"/>
      <c r="L533" s="8"/>
      <c r="M533" s="9"/>
      <c r="N533" s="5"/>
    </row>
    <row r="534" spans="1:14">
      <c r="A534" s="3"/>
      <c r="B534" s="4"/>
      <c r="C534" s="5"/>
      <c r="D534" s="5"/>
      <c r="E534" s="5"/>
      <c r="F534" s="6"/>
      <c r="G534" s="5"/>
      <c r="H534" s="5"/>
      <c r="I534" s="5"/>
      <c r="J534" s="5"/>
      <c r="K534" s="7"/>
      <c r="L534" s="10"/>
      <c r="M534" s="9"/>
      <c r="N534" s="5"/>
    </row>
    <row r="535" spans="1:14">
      <c r="A535" s="3"/>
      <c r="B535" s="4"/>
      <c r="C535" s="5"/>
      <c r="D535" s="5"/>
      <c r="E535" s="5"/>
      <c r="F535" s="6"/>
      <c r="G535" s="5"/>
      <c r="H535" s="5"/>
      <c r="I535" s="5"/>
      <c r="J535" s="5"/>
      <c r="K535" s="7"/>
      <c r="L535" s="8"/>
      <c r="M535" s="9"/>
      <c r="N535" s="5"/>
    </row>
    <row r="536" spans="1:14">
      <c r="A536" s="3"/>
      <c r="B536" s="4"/>
      <c r="C536" s="5"/>
      <c r="D536" s="5"/>
      <c r="E536" s="5"/>
      <c r="F536" s="6"/>
      <c r="G536" s="5"/>
      <c r="H536" s="5"/>
      <c r="I536" s="5"/>
      <c r="J536" s="5"/>
      <c r="K536" s="7"/>
      <c r="L536" s="8"/>
      <c r="M536" s="9"/>
      <c r="N536" s="5"/>
    </row>
    <row r="537" spans="1:14">
      <c r="A537" s="3"/>
      <c r="B537" s="4"/>
      <c r="C537" s="5"/>
      <c r="D537" s="5"/>
      <c r="E537" s="5"/>
      <c r="F537" s="6"/>
      <c r="G537" s="5"/>
      <c r="H537" s="5"/>
      <c r="I537" s="5"/>
      <c r="J537" s="5"/>
      <c r="K537" s="7"/>
      <c r="L537" s="8"/>
      <c r="M537" s="9"/>
      <c r="N537" s="5"/>
    </row>
    <row r="538" spans="1:14">
      <c r="A538" s="3"/>
      <c r="B538" s="4"/>
      <c r="C538" s="5"/>
      <c r="D538" s="5"/>
      <c r="E538" s="5"/>
      <c r="F538" s="6"/>
      <c r="G538" s="5"/>
      <c r="H538" s="5"/>
      <c r="I538" s="5"/>
      <c r="J538" s="5"/>
      <c r="K538" s="7"/>
      <c r="L538" s="8"/>
      <c r="M538" s="9"/>
      <c r="N538" s="5"/>
    </row>
    <row r="539" spans="1:14">
      <c r="A539" s="3"/>
      <c r="B539" s="4"/>
      <c r="C539" s="5"/>
      <c r="D539" s="5"/>
      <c r="E539" s="5"/>
      <c r="F539" s="6"/>
      <c r="G539" s="5"/>
      <c r="H539" s="5"/>
      <c r="I539" s="5"/>
      <c r="J539" s="5"/>
      <c r="K539" s="7"/>
      <c r="L539" s="8"/>
      <c r="M539" s="9"/>
      <c r="N539" s="5"/>
    </row>
    <row r="540" spans="1:14">
      <c r="A540" s="3"/>
      <c r="B540" s="4"/>
      <c r="C540" s="5"/>
      <c r="D540" s="5"/>
      <c r="E540" s="5"/>
      <c r="F540" s="6"/>
      <c r="G540" s="5"/>
      <c r="H540" s="5"/>
      <c r="I540" s="5"/>
      <c r="J540" s="5"/>
      <c r="K540" s="7"/>
      <c r="L540" s="8"/>
      <c r="M540" s="9"/>
      <c r="N540" s="5"/>
    </row>
    <row r="541" spans="1:14">
      <c r="A541" s="3"/>
      <c r="B541" s="4"/>
      <c r="C541" s="5"/>
      <c r="D541" s="5"/>
      <c r="E541" s="5"/>
      <c r="F541" s="6"/>
      <c r="G541" s="5"/>
      <c r="H541" s="5"/>
      <c r="I541" s="5"/>
      <c r="J541" s="5"/>
      <c r="K541" s="7"/>
      <c r="L541" s="8"/>
      <c r="M541" s="9"/>
      <c r="N541" s="5"/>
    </row>
    <row r="542" spans="1:14">
      <c r="A542" s="3"/>
      <c r="B542" s="4"/>
      <c r="C542" s="5"/>
      <c r="D542" s="5"/>
      <c r="E542" s="5"/>
      <c r="F542" s="6"/>
      <c r="G542" s="5"/>
      <c r="H542" s="5"/>
      <c r="I542" s="5"/>
      <c r="J542" s="5"/>
      <c r="K542" s="7"/>
      <c r="L542" s="8"/>
      <c r="M542" s="9"/>
      <c r="N542" s="5"/>
    </row>
    <row r="543" spans="1:14">
      <c r="A543" s="3"/>
      <c r="B543" s="4"/>
      <c r="C543" s="5"/>
      <c r="D543" s="5"/>
      <c r="E543" s="5"/>
      <c r="F543" s="6"/>
      <c r="G543" s="5"/>
      <c r="H543" s="5"/>
      <c r="I543" s="5"/>
      <c r="J543" s="5"/>
      <c r="K543" s="7"/>
      <c r="L543" s="8"/>
      <c r="M543" s="9"/>
      <c r="N543" s="5"/>
    </row>
    <row r="544" spans="1:14">
      <c r="A544" s="3"/>
      <c r="B544" s="4"/>
      <c r="C544" s="5"/>
      <c r="D544" s="5"/>
      <c r="E544" s="5"/>
      <c r="F544" s="6"/>
      <c r="G544" s="5"/>
      <c r="H544" s="5"/>
      <c r="I544" s="5"/>
      <c r="J544" s="5"/>
      <c r="K544" s="7"/>
      <c r="L544" s="8"/>
      <c r="M544" s="9"/>
      <c r="N544" s="5"/>
    </row>
    <row r="545" spans="1:14">
      <c r="A545" s="3"/>
      <c r="B545" s="4"/>
      <c r="C545" s="5"/>
      <c r="D545" s="5"/>
      <c r="E545" s="5"/>
      <c r="F545" s="6"/>
      <c r="G545" s="5"/>
      <c r="H545" s="5"/>
      <c r="I545" s="5"/>
      <c r="J545" s="5"/>
      <c r="K545" s="7"/>
      <c r="L545" s="8"/>
      <c r="M545" s="9"/>
      <c r="N545" s="5"/>
    </row>
    <row r="546" spans="1:14">
      <c r="A546" s="3"/>
      <c r="B546" s="4"/>
      <c r="C546" s="5"/>
      <c r="D546" s="5"/>
      <c r="E546" s="5"/>
      <c r="F546" s="6"/>
      <c r="G546" s="5"/>
      <c r="H546" s="5"/>
      <c r="I546" s="5"/>
      <c r="J546" s="5"/>
      <c r="K546" s="7"/>
      <c r="L546" s="8"/>
      <c r="M546" s="9"/>
      <c r="N546" s="5"/>
    </row>
    <row r="547" spans="1:14">
      <c r="A547" s="3"/>
      <c r="B547" s="4"/>
      <c r="C547" s="5"/>
      <c r="D547" s="5"/>
      <c r="E547" s="5"/>
      <c r="F547" s="6"/>
      <c r="G547" s="5"/>
      <c r="H547" s="5"/>
      <c r="I547" s="5"/>
      <c r="J547" s="5"/>
      <c r="K547" s="7"/>
      <c r="L547" s="8"/>
      <c r="M547" s="9"/>
      <c r="N547" s="5"/>
    </row>
    <row r="548" spans="1:14">
      <c r="A548" s="3"/>
      <c r="B548" s="4"/>
      <c r="C548" s="5"/>
      <c r="D548" s="5"/>
      <c r="E548" s="5"/>
      <c r="F548" s="6"/>
      <c r="G548" s="5"/>
      <c r="H548" s="5"/>
      <c r="I548" s="5"/>
      <c r="J548" s="5"/>
      <c r="K548" s="7"/>
      <c r="L548" s="8"/>
      <c r="M548" s="9"/>
      <c r="N548" s="5"/>
    </row>
    <row r="549" spans="1:14">
      <c r="A549" s="3"/>
      <c r="B549" s="4"/>
      <c r="C549" s="5"/>
      <c r="D549" s="5"/>
      <c r="E549" s="5"/>
      <c r="F549" s="6"/>
      <c r="G549" s="5"/>
      <c r="H549" s="5"/>
      <c r="I549" s="5"/>
      <c r="J549" s="5"/>
      <c r="K549" s="7"/>
      <c r="L549" s="8"/>
      <c r="M549" s="9"/>
      <c r="N549" s="5"/>
    </row>
    <row r="550" spans="1:14">
      <c r="A550" s="3"/>
      <c r="B550" s="4"/>
      <c r="C550" s="5"/>
      <c r="D550" s="5"/>
      <c r="E550" s="5"/>
      <c r="F550" s="6"/>
      <c r="G550" s="5"/>
      <c r="H550" s="5"/>
      <c r="I550" s="5"/>
      <c r="J550" s="5"/>
      <c r="K550" s="7"/>
      <c r="L550" s="8"/>
      <c r="M550" s="9"/>
      <c r="N550" s="5"/>
    </row>
    <row r="551" spans="1:14">
      <c r="A551" s="3"/>
      <c r="B551" s="4"/>
      <c r="C551" s="5"/>
      <c r="D551" s="5"/>
      <c r="E551" s="5"/>
      <c r="F551" s="6"/>
      <c r="G551" s="5"/>
      <c r="H551" s="5"/>
      <c r="I551" s="5"/>
      <c r="J551" s="5"/>
      <c r="K551" s="7"/>
      <c r="L551" s="8"/>
      <c r="M551" s="9"/>
      <c r="N551" s="5"/>
    </row>
    <row r="552" spans="1:14">
      <c r="A552" s="3"/>
      <c r="B552" s="4"/>
      <c r="C552" s="5"/>
      <c r="D552" s="5"/>
      <c r="E552" s="5"/>
      <c r="F552" s="6"/>
      <c r="G552" s="5"/>
      <c r="H552" s="5"/>
      <c r="I552" s="5"/>
      <c r="J552" s="5"/>
      <c r="K552" s="7"/>
      <c r="L552" s="8"/>
      <c r="M552" s="9"/>
      <c r="N552" s="5"/>
    </row>
    <row r="553" spans="1:14">
      <c r="A553" s="3"/>
      <c r="B553" s="4"/>
      <c r="C553" s="5"/>
      <c r="D553" s="5"/>
      <c r="E553" s="5"/>
      <c r="F553" s="6"/>
      <c r="G553" s="5"/>
      <c r="H553" s="5"/>
      <c r="I553" s="5"/>
      <c r="J553" s="5"/>
      <c r="K553" s="7"/>
      <c r="L553" s="8"/>
      <c r="M553" s="9"/>
      <c r="N553" s="5"/>
    </row>
    <row r="554" spans="1:14">
      <c r="A554" s="3"/>
      <c r="B554" s="4"/>
      <c r="C554" s="5"/>
      <c r="D554" s="5"/>
      <c r="E554" s="5"/>
      <c r="F554" s="6"/>
      <c r="G554" s="5"/>
      <c r="H554" s="5"/>
      <c r="I554" s="5"/>
      <c r="J554" s="5"/>
      <c r="K554" s="7"/>
      <c r="L554" s="8"/>
      <c r="M554" s="9"/>
      <c r="N554" s="5"/>
    </row>
    <row r="555" spans="1:14">
      <c r="A555" s="3"/>
      <c r="B555" s="4"/>
      <c r="C555" s="5"/>
      <c r="D555" s="5"/>
      <c r="E555" s="5"/>
      <c r="F555" s="6"/>
      <c r="G555" s="5"/>
      <c r="H555" s="5"/>
      <c r="I555" s="5"/>
      <c r="J555" s="5"/>
      <c r="K555" s="7"/>
      <c r="L555" s="8"/>
      <c r="M555" s="9"/>
      <c r="N555" s="5"/>
    </row>
    <row r="556" spans="1:14">
      <c r="A556" s="3"/>
      <c r="B556" s="4"/>
      <c r="C556" s="5"/>
      <c r="D556" s="5"/>
      <c r="E556" s="5"/>
      <c r="F556" s="6"/>
      <c r="G556" s="5"/>
      <c r="H556" s="5"/>
      <c r="I556" s="5"/>
      <c r="J556" s="5"/>
      <c r="K556" s="7"/>
      <c r="L556" s="8"/>
      <c r="M556" s="9"/>
      <c r="N556" s="5"/>
    </row>
    <row r="557" spans="1:14">
      <c r="A557" s="3"/>
      <c r="B557" s="4"/>
      <c r="C557" s="5"/>
      <c r="D557" s="5"/>
      <c r="E557" s="5"/>
      <c r="F557" s="6"/>
      <c r="G557" s="5"/>
      <c r="H557" s="5"/>
      <c r="I557" s="5"/>
      <c r="J557" s="5"/>
      <c r="K557" s="7"/>
      <c r="L557" s="8"/>
      <c r="M557" s="9"/>
      <c r="N557" s="5"/>
    </row>
    <row r="558" spans="1:14">
      <c r="A558" s="3"/>
      <c r="B558" s="4"/>
      <c r="C558" s="5"/>
      <c r="D558" s="5"/>
      <c r="E558" s="5"/>
      <c r="F558" s="6"/>
      <c r="G558" s="5"/>
      <c r="H558" s="5"/>
      <c r="I558" s="5"/>
      <c r="J558" s="5"/>
      <c r="K558" s="7"/>
      <c r="L558" s="8"/>
      <c r="M558" s="9"/>
      <c r="N558" s="5"/>
    </row>
    <row r="559" spans="1:14">
      <c r="A559" s="3"/>
      <c r="B559" s="4"/>
      <c r="C559" s="5"/>
      <c r="D559" s="5"/>
      <c r="E559" s="5"/>
      <c r="F559" s="6"/>
      <c r="G559" s="5"/>
      <c r="H559" s="5"/>
      <c r="I559" s="5"/>
      <c r="J559" s="5"/>
      <c r="K559" s="7"/>
      <c r="L559" s="8"/>
      <c r="M559" s="9"/>
      <c r="N559" s="5"/>
    </row>
    <row r="560" spans="1:14">
      <c r="A560" s="3"/>
      <c r="B560" s="4"/>
      <c r="C560" s="5"/>
      <c r="D560" s="5"/>
      <c r="E560" s="5"/>
      <c r="F560" s="6"/>
      <c r="G560" s="5"/>
      <c r="H560" s="5"/>
      <c r="I560" s="5"/>
      <c r="J560" s="5"/>
      <c r="K560" s="7"/>
      <c r="L560" s="8"/>
      <c r="M560" s="9"/>
      <c r="N560" s="5"/>
    </row>
    <row r="561" spans="1:14">
      <c r="A561" s="3"/>
      <c r="B561" s="4"/>
      <c r="C561" s="5"/>
      <c r="D561" s="5"/>
      <c r="E561" s="5"/>
      <c r="F561" s="6"/>
      <c r="G561" s="5"/>
      <c r="H561" s="5"/>
      <c r="I561" s="5"/>
      <c r="J561" s="5"/>
      <c r="K561" s="7"/>
      <c r="L561" s="8"/>
      <c r="M561" s="9"/>
      <c r="N561" s="5"/>
    </row>
    <row r="562" spans="1:14">
      <c r="A562" s="3"/>
      <c r="B562" s="4"/>
      <c r="C562" s="5"/>
      <c r="D562" s="5"/>
      <c r="E562" s="5"/>
      <c r="F562" s="6"/>
      <c r="G562" s="5"/>
      <c r="H562" s="5"/>
      <c r="I562" s="5"/>
      <c r="J562" s="5"/>
      <c r="K562" s="7"/>
      <c r="L562" s="8"/>
      <c r="M562" s="9"/>
      <c r="N562" s="5"/>
    </row>
    <row r="563" spans="1:14">
      <c r="A563" s="3"/>
      <c r="B563" s="4"/>
      <c r="C563" s="5"/>
      <c r="D563" s="5"/>
      <c r="E563" s="5"/>
      <c r="F563" s="6"/>
      <c r="G563" s="5"/>
      <c r="H563" s="5"/>
      <c r="I563" s="5"/>
      <c r="J563" s="5"/>
      <c r="K563" s="7"/>
      <c r="L563" s="8"/>
      <c r="M563" s="9"/>
      <c r="N563" s="5"/>
    </row>
    <row r="564" spans="1:14">
      <c r="A564" s="3"/>
      <c r="B564" s="4"/>
      <c r="C564" s="5"/>
      <c r="D564" s="5"/>
      <c r="E564" s="5"/>
      <c r="F564" s="6"/>
      <c r="G564" s="5"/>
      <c r="H564" s="5"/>
      <c r="I564" s="5"/>
      <c r="J564" s="5"/>
      <c r="K564" s="7"/>
      <c r="L564" s="8"/>
      <c r="M564" s="9"/>
      <c r="N564" s="5"/>
    </row>
    <row r="565" spans="1:14">
      <c r="A565" s="3"/>
      <c r="B565" s="4"/>
      <c r="C565" s="5"/>
      <c r="D565" s="5"/>
      <c r="E565" s="5"/>
      <c r="F565" s="6"/>
      <c r="G565" s="5"/>
      <c r="H565" s="5"/>
      <c r="I565" s="5"/>
      <c r="J565" s="5"/>
      <c r="K565" s="7"/>
      <c r="L565" s="8"/>
      <c r="M565" s="9"/>
      <c r="N565" s="5"/>
    </row>
    <row r="566" spans="1:14">
      <c r="A566" s="3"/>
      <c r="B566" s="4"/>
      <c r="C566" s="5"/>
      <c r="D566" s="5"/>
      <c r="E566" s="5"/>
      <c r="F566" s="6"/>
      <c r="G566" s="5"/>
      <c r="H566" s="5"/>
      <c r="I566" s="5"/>
      <c r="J566" s="5"/>
      <c r="K566" s="7"/>
      <c r="L566" s="8"/>
      <c r="M566" s="9"/>
      <c r="N566" s="5"/>
    </row>
    <row r="567" spans="1:14">
      <c r="A567" s="3"/>
      <c r="B567" s="4"/>
      <c r="C567" s="5"/>
      <c r="D567" s="5"/>
      <c r="E567" s="5"/>
      <c r="F567" s="6"/>
      <c r="G567" s="5"/>
      <c r="H567" s="5"/>
      <c r="I567" s="5"/>
      <c r="J567" s="5"/>
      <c r="K567" s="7"/>
      <c r="L567" s="8"/>
      <c r="M567" s="9"/>
      <c r="N567" s="5"/>
    </row>
    <row r="568" spans="1:14">
      <c r="A568" s="3"/>
      <c r="B568" s="4"/>
      <c r="C568" s="5"/>
      <c r="D568" s="5"/>
      <c r="E568" s="5"/>
      <c r="F568" s="6"/>
      <c r="G568" s="5"/>
      <c r="H568" s="5"/>
      <c r="I568" s="5"/>
      <c r="J568" s="5"/>
      <c r="K568" s="7"/>
      <c r="L568" s="8"/>
      <c r="M568" s="9"/>
      <c r="N568" s="5"/>
    </row>
    <row r="569" spans="1:14">
      <c r="A569" s="3"/>
      <c r="B569" s="4"/>
      <c r="C569" s="5"/>
      <c r="D569" s="5"/>
      <c r="E569" s="5"/>
      <c r="F569" s="6"/>
      <c r="G569" s="5"/>
      <c r="H569" s="5"/>
      <c r="I569" s="5"/>
      <c r="J569" s="5"/>
      <c r="K569" s="7"/>
      <c r="L569" s="8"/>
      <c r="M569" s="9"/>
      <c r="N569" s="5"/>
    </row>
    <row r="570" spans="1:14">
      <c r="A570" s="3"/>
      <c r="B570" s="4"/>
      <c r="C570" s="5"/>
      <c r="D570" s="5"/>
      <c r="E570" s="5"/>
      <c r="F570" s="6"/>
      <c r="G570" s="5"/>
      <c r="H570" s="5"/>
      <c r="I570" s="5"/>
      <c r="J570" s="5"/>
      <c r="K570" s="7"/>
      <c r="L570" s="8"/>
      <c r="M570" s="9"/>
      <c r="N570" s="5"/>
    </row>
    <row r="571" spans="1:14">
      <c r="A571" s="3"/>
      <c r="B571" s="4"/>
      <c r="C571" s="5"/>
      <c r="D571" s="5"/>
      <c r="E571" s="5"/>
      <c r="F571" s="6"/>
      <c r="G571" s="5"/>
      <c r="H571" s="5"/>
      <c r="I571" s="5"/>
      <c r="J571" s="5"/>
      <c r="K571" s="7"/>
      <c r="L571" s="8"/>
      <c r="M571" s="9"/>
      <c r="N571" s="5"/>
    </row>
    <row r="572" spans="1:14">
      <c r="A572" s="3"/>
      <c r="B572" s="4"/>
      <c r="C572" s="5"/>
      <c r="D572" s="5"/>
      <c r="E572" s="5"/>
      <c r="F572" s="6"/>
      <c r="G572" s="5"/>
      <c r="H572" s="5"/>
      <c r="I572" s="5"/>
      <c r="J572" s="5"/>
      <c r="K572" s="7"/>
      <c r="L572" s="8"/>
      <c r="M572" s="9"/>
      <c r="N572" s="5"/>
    </row>
    <row r="573" spans="1:14">
      <c r="A573" s="3"/>
      <c r="B573" s="4"/>
      <c r="C573" s="5"/>
      <c r="D573" s="5"/>
      <c r="E573" s="5"/>
      <c r="F573" s="6"/>
      <c r="G573" s="5"/>
      <c r="H573" s="5"/>
      <c r="I573" s="5"/>
      <c r="J573" s="5"/>
      <c r="K573" s="7"/>
      <c r="L573" s="10"/>
      <c r="M573" s="9"/>
      <c r="N573" s="5"/>
    </row>
    <row r="574" spans="1:14">
      <c r="A574" s="3"/>
      <c r="B574" s="4"/>
      <c r="C574" s="5"/>
      <c r="D574" s="5"/>
      <c r="E574" s="5"/>
      <c r="F574" s="6"/>
      <c r="G574" s="5"/>
      <c r="H574" s="5"/>
      <c r="I574" s="5"/>
      <c r="J574" s="5"/>
      <c r="K574" s="7"/>
      <c r="L574" s="10"/>
      <c r="M574" s="9"/>
      <c r="N574" s="5"/>
    </row>
    <row r="575" spans="1:14">
      <c r="A575" s="3"/>
      <c r="B575" s="4"/>
      <c r="C575" s="5"/>
      <c r="D575" s="5"/>
      <c r="E575" s="5"/>
      <c r="F575" s="6"/>
      <c r="G575" s="5"/>
      <c r="H575" s="5"/>
      <c r="I575" s="5"/>
      <c r="J575" s="5"/>
      <c r="K575" s="7"/>
      <c r="L575" s="10"/>
      <c r="M575" s="9"/>
      <c r="N575" s="5"/>
    </row>
    <row r="576" spans="1:14">
      <c r="A576" s="3"/>
      <c r="B576" s="4"/>
      <c r="C576" s="5"/>
      <c r="D576" s="5"/>
      <c r="E576" s="5"/>
      <c r="F576" s="6"/>
      <c r="G576" s="5"/>
      <c r="H576" s="5"/>
      <c r="I576" s="5"/>
      <c r="J576" s="5"/>
      <c r="K576" s="7"/>
      <c r="L576" s="10"/>
      <c r="M576" s="9"/>
      <c r="N576" s="5"/>
    </row>
    <row r="577" spans="1:14">
      <c r="A577" s="3"/>
      <c r="B577" s="4"/>
      <c r="C577" s="5"/>
      <c r="D577" s="5"/>
      <c r="E577" s="5"/>
      <c r="F577" s="6"/>
      <c r="G577" s="5"/>
      <c r="H577" s="5"/>
      <c r="I577" s="5"/>
      <c r="J577" s="5"/>
      <c r="K577" s="7"/>
      <c r="L577" s="10"/>
      <c r="M577" s="9"/>
      <c r="N577" s="5"/>
    </row>
    <row r="578" spans="1:14">
      <c r="A578" s="3"/>
      <c r="B578" s="4"/>
      <c r="C578" s="5"/>
      <c r="D578" s="5"/>
      <c r="E578" s="5"/>
      <c r="F578" s="6"/>
      <c r="G578" s="5"/>
      <c r="H578" s="5"/>
      <c r="I578" s="5"/>
      <c r="J578" s="5"/>
      <c r="K578" s="7"/>
      <c r="L578" s="10"/>
      <c r="M578" s="9"/>
      <c r="N578" s="5"/>
    </row>
    <row r="579" spans="1:14">
      <c r="A579" s="3"/>
      <c r="B579" s="4"/>
      <c r="C579" s="5"/>
      <c r="D579" s="5"/>
      <c r="E579" s="5"/>
      <c r="F579" s="6"/>
      <c r="G579" s="5"/>
      <c r="H579" s="5"/>
      <c r="I579" s="5"/>
      <c r="J579" s="5"/>
      <c r="K579" s="7"/>
      <c r="L579" s="10"/>
      <c r="M579" s="9"/>
      <c r="N579" s="5"/>
    </row>
    <row r="580" spans="1:14">
      <c r="A580" s="3"/>
      <c r="B580" s="4"/>
      <c r="C580" s="5"/>
      <c r="D580" s="5"/>
      <c r="E580" s="5"/>
      <c r="F580" s="6"/>
      <c r="G580" s="5"/>
      <c r="H580" s="5"/>
      <c r="I580" s="5"/>
      <c r="J580" s="5"/>
      <c r="K580" s="7"/>
      <c r="L580" s="10"/>
      <c r="M580" s="9"/>
      <c r="N580" s="5"/>
    </row>
    <row r="581" spans="1:14">
      <c r="A581" s="3"/>
      <c r="B581" s="4"/>
      <c r="C581" s="5"/>
      <c r="D581" s="5"/>
      <c r="E581" s="5"/>
      <c r="F581" s="6"/>
      <c r="G581" s="5"/>
      <c r="H581" s="5"/>
      <c r="I581" s="5"/>
      <c r="J581" s="5"/>
      <c r="K581" s="7"/>
      <c r="L581" s="10"/>
      <c r="M581" s="9"/>
      <c r="N581" s="5"/>
    </row>
    <row r="582" spans="1:14">
      <c r="A582" s="3"/>
      <c r="B582" s="4"/>
      <c r="C582" s="5"/>
      <c r="D582" s="5"/>
      <c r="E582" s="5"/>
      <c r="F582" s="6"/>
      <c r="G582" s="5"/>
      <c r="H582" s="5"/>
      <c r="I582" s="11"/>
      <c r="J582" s="5"/>
      <c r="K582" s="7"/>
      <c r="L582" s="10"/>
      <c r="M582" s="9"/>
      <c r="N582" s="5"/>
    </row>
    <row r="583" spans="1:14">
      <c r="A583" s="3"/>
      <c r="B583" s="4"/>
      <c r="C583" s="5"/>
      <c r="D583" s="5"/>
      <c r="E583" s="5"/>
      <c r="F583" s="6"/>
      <c r="G583" s="5"/>
      <c r="H583" s="5"/>
      <c r="I583" s="5"/>
      <c r="J583" s="5"/>
      <c r="K583" s="7"/>
      <c r="L583" s="10"/>
      <c r="M583" s="9"/>
      <c r="N583" s="5"/>
    </row>
    <row r="584" spans="1:14">
      <c r="A584" s="3"/>
      <c r="B584" s="4"/>
      <c r="C584" s="5"/>
      <c r="D584" s="5"/>
      <c r="E584" s="5"/>
      <c r="F584" s="6"/>
      <c r="G584" s="5"/>
      <c r="H584" s="5"/>
      <c r="I584" s="5"/>
      <c r="J584" s="5"/>
      <c r="K584" s="7"/>
      <c r="L584" s="8"/>
      <c r="M584" s="9"/>
      <c r="N584" s="5"/>
    </row>
    <row r="585" spans="1:14">
      <c r="A585" s="3"/>
      <c r="B585" s="4"/>
      <c r="C585" s="5"/>
      <c r="D585" s="5"/>
      <c r="E585" s="5"/>
      <c r="F585" s="6"/>
      <c r="G585" s="5"/>
      <c r="H585" s="5"/>
      <c r="I585" s="5"/>
      <c r="J585" s="5"/>
      <c r="K585" s="7"/>
      <c r="L585" s="8"/>
      <c r="M585" s="9"/>
      <c r="N585" s="5"/>
    </row>
    <row r="586" spans="1:14">
      <c r="A586" s="3"/>
      <c r="B586" s="4"/>
      <c r="C586" s="5"/>
      <c r="D586" s="5"/>
      <c r="E586" s="5"/>
      <c r="F586" s="6"/>
      <c r="G586" s="5"/>
      <c r="H586" s="5"/>
      <c r="I586" s="5"/>
      <c r="J586" s="5"/>
      <c r="K586" s="7"/>
      <c r="L586" s="10"/>
      <c r="M586" s="9"/>
      <c r="N586" s="5"/>
    </row>
    <row r="587" spans="1:14">
      <c r="A587" s="3"/>
      <c r="B587" s="4"/>
      <c r="C587" s="5"/>
      <c r="D587" s="5"/>
      <c r="E587" s="5"/>
      <c r="F587" s="6"/>
      <c r="G587" s="5"/>
      <c r="H587" s="5"/>
      <c r="I587" s="5"/>
      <c r="J587" s="5"/>
      <c r="K587" s="7"/>
      <c r="L587" s="8"/>
      <c r="M587" s="9"/>
      <c r="N587" s="5"/>
    </row>
    <row r="588" spans="1:14">
      <c r="A588" s="3"/>
      <c r="B588" s="4"/>
      <c r="C588" s="5"/>
      <c r="D588" s="5"/>
      <c r="E588" s="5"/>
      <c r="F588" s="6"/>
      <c r="G588" s="5"/>
      <c r="H588" s="5"/>
      <c r="I588" s="5"/>
      <c r="J588" s="5"/>
      <c r="K588" s="7"/>
      <c r="L588" s="10"/>
      <c r="M588" s="9"/>
      <c r="N588" s="5"/>
    </row>
    <row r="589" spans="1:14">
      <c r="A589" s="3"/>
      <c r="B589" s="4"/>
      <c r="C589" s="5"/>
      <c r="D589" s="5"/>
      <c r="E589" s="5"/>
      <c r="F589" s="6"/>
      <c r="G589" s="5"/>
      <c r="H589" s="5"/>
      <c r="I589" s="5"/>
      <c r="J589" s="5"/>
      <c r="K589" s="7"/>
      <c r="L589" s="8"/>
      <c r="M589" s="9"/>
      <c r="N589" s="5"/>
    </row>
    <row r="590" spans="1:14">
      <c r="A590" s="3"/>
      <c r="B590" s="4"/>
      <c r="C590" s="5"/>
      <c r="D590" s="5"/>
      <c r="E590" s="5"/>
      <c r="F590" s="6"/>
      <c r="G590" s="5"/>
      <c r="H590" s="5"/>
      <c r="I590" s="5"/>
      <c r="J590" s="5"/>
      <c r="K590" s="7"/>
      <c r="L590" s="8"/>
      <c r="M590" s="9"/>
      <c r="N590" s="5"/>
    </row>
    <row r="591" spans="1:14">
      <c r="A591" s="3"/>
      <c r="B591" s="4"/>
      <c r="C591" s="5"/>
      <c r="D591" s="5"/>
      <c r="E591" s="5"/>
      <c r="F591" s="6"/>
      <c r="G591" s="5"/>
      <c r="H591" s="5"/>
      <c r="I591" s="5"/>
      <c r="J591" s="5"/>
      <c r="K591" s="7"/>
      <c r="L591" s="8"/>
      <c r="M591" s="9"/>
      <c r="N591" s="5"/>
    </row>
    <row r="592" spans="1:14">
      <c r="A592" s="3"/>
      <c r="B592" s="4"/>
      <c r="C592" s="5"/>
      <c r="D592" s="5"/>
      <c r="E592" s="11"/>
      <c r="F592" s="6"/>
      <c r="G592" s="5"/>
      <c r="H592" s="5"/>
      <c r="I592" s="5"/>
      <c r="J592" s="5"/>
      <c r="K592" s="7"/>
      <c r="L592" s="10"/>
      <c r="M592" s="9"/>
      <c r="N592" s="5"/>
    </row>
    <row r="593" spans="1:14">
      <c r="A593" s="3"/>
      <c r="B593" s="4"/>
      <c r="C593" s="5"/>
      <c r="D593" s="5"/>
      <c r="E593" s="5"/>
      <c r="F593" s="6"/>
      <c r="G593" s="5"/>
      <c r="H593" s="5"/>
      <c r="I593" s="5"/>
      <c r="J593" s="5"/>
      <c r="K593" s="7"/>
      <c r="L593" s="10"/>
      <c r="M593" s="9"/>
      <c r="N593" s="5"/>
    </row>
    <row r="594" spans="1:14">
      <c r="A594" s="3"/>
      <c r="B594" s="4"/>
      <c r="C594" s="5"/>
      <c r="D594" s="5"/>
      <c r="E594" s="5"/>
      <c r="F594" s="6"/>
      <c r="G594" s="5"/>
      <c r="H594" s="5"/>
      <c r="I594" s="11"/>
      <c r="J594" s="5"/>
      <c r="K594" s="7"/>
      <c r="L594" s="10"/>
      <c r="M594" s="9"/>
      <c r="N594" s="5"/>
    </row>
  </sheetData>
  <autoFilter ref="A1:AA59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2022-04-12T11:26:10Z</dcterms:modified>
</cp:coreProperties>
</file>